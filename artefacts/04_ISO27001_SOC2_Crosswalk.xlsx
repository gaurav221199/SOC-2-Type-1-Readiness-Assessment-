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ethodology" sheetId="2" state="visible" r:id="rId4"/>
    <sheet name="Crosswalk" sheetId="3" state="visible" r:id="rId5"/>
    <sheet name="Reuse Summary" sheetId="4" state="visible" r:id="rId6"/>
    <sheet name="Gap Analysis" sheetId="5" state="visible" r:id="rId7"/>
  </sheets>
  <definedNames>
    <definedName function="false" hidden="true" localSheetId="2" name="_xlnm._FilterDatabase" vbProcedure="false">Crosswalk!$A$1:$F$94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<sst xmlns="http://schemas.openxmlformats.org/spreadsheetml/2006/main" count="705" uniqueCount="428">
  <si>
    <t xml:space="preserve">ISO 27001:2022 ↔ SOC 2 SECURITY TSC CROSSWALK</t>
  </si>
  <si>
    <t xml:space="preserve">Maximising Reuse of Existing ISMS Controls for SOC 2 Type 1</t>
  </si>
  <si>
    <t xml:space="preserve">Client (Simulated):</t>
  </si>
  <si>
    <t xml:space="preserve">MeridianHealth Analytics Pty Ltd</t>
  </si>
  <si>
    <t xml:space="preserve">Engagement:</t>
  </si>
  <si>
    <t xml:space="preserve">MHA-SOC2-2026-001</t>
  </si>
  <si>
    <t xml:space="preserve">Source Framework:</t>
  </si>
  <si>
    <t xml:space="preserve">ISO/IEC 27001:2022 Annex A (93 controls)</t>
  </si>
  <si>
    <t xml:space="preserve">Target Framework:</t>
  </si>
  <si>
    <t xml:space="preserve">AICPA Trust Services Criteria — Security (CC1–CC9)</t>
  </si>
  <si>
    <t xml:space="preserve">Existing Certification:</t>
  </si>
  <si>
    <t xml:space="preserve">ISO/IEC 27001:2022 (issued Nov 2024, valid Nov 2027)</t>
  </si>
  <si>
    <t xml:space="preserve">Prepared By:</t>
  </si>
  <si>
    <t xml:space="preserve">Gaurav Govind, GRC Analyst</t>
  </si>
  <si>
    <t xml:space="preserve">Date:</t>
  </si>
  <si>
    <t xml:space="preserve">28 April 2026</t>
  </si>
  <si>
    <t xml:space="preserve">Version:</t>
  </si>
  <si>
    <t xml:space="preserve">1.0 — Final</t>
  </si>
  <si>
    <t xml:space="preserve">Classification:</t>
  </si>
  <si>
    <t xml:space="preserve">Confidential — Client</t>
  </si>
  <si>
    <t xml:space="preserve">WORKBOOK CONTENTS</t>
  </si>
  <si>
    <t xml:space="preserve">Cover</t>
  </si>
  <si>
    <t xml:space="preserve">This sheet</t>
  </si>
  <si>
    <t xml:space="preserve">Methodology</t>
  </si>
  <si>
    <t xml:space="preserve">Mapping approach and reuse rating definitions</t>
  </si>
  <si>
    <t xml:space="preserve">Crosswalk</t>
  </si>
  <si>
    <t xml:space="preserve">All 93 ISO 27001:2022 Annex A controls mapped to SOC 2 CC criteria</t>
  </si>
  <si>
    <t xml:space="preserve">Reuse Summary</t>
  </si>
  <si>
    <t xml:space="preserve">Reuse percentages by ISO theme, with formulas</t>
  </si>
  <si>
    <t xml:space="preserve">Gap Analysis</t>
  </si>
  <si>
    <t xml:space="preserve">SOC 2 criteria requiring net-new controls beyond ISMS</t>
  </si>
  <si>
    <t xml:space="preserve">DISCLAIMER</t>
  </si>
  <si>
    <t xml:space="preserve">Simulated portfolio engagement. MeridianHealth Analytics Pty Ltd is fictional. Mappings reflect industry-standard interpretation; actual mappings would be tailored to the client's Statement of Applicability.</t>
  </si>
  <si>
    <t xml:space="preserve">MAPPING METHODOLOGY</t>
  </si>
  <si>
    <t xml:space="preserve">Approach</t>
  </si>
  <si>
    <t xml:space="preserve">1. Each ISO 27001:2022 Annex A control was reviewed against the AICPA Trust Services Criteria — Security points of focus (2022 revision).</t>
  </si>
  <si>
    <t xml:space="preserve">2. Where an ISO control demonstrably satisfies the SOC 2 point of focus, the mapping was rated 'Full' reuse.</t>
  </si>
  <si>
    <t xml:space="preserve">3. Where an ISO control covers the principle but the SOC 2 audit expects additional evidence, frequency, or formality, the mapping was rated 'Partial'.</t>
  </si>
  <si>
    <t xml:space="preserve">4. SOC 2 criteria with no ISO equivalent are captured separately on the 'Gap Analysis' sheet as net-new controls.</t>
  </si>
  <si>
    <t xml:space="preserve">5. Mappings reflect MeridianHealth's actual implementation of ISO controls (per their Statement of Applicability), not theoretical mappings.</t>
  </si>
  <si>
    <t xml:space="preserve">Reuse Rating Definitions</t>
  </si>
  <si>
    <t xml:space="preserve">Full</t>
  </si>
  <si>
    <t xml:space="preserve">Existing ISO control satisfies SOC 2 expectation as-is. No remediation required.</t>
  </si>
  <si>
    <t xml:space="preserve">Partial</t>
  </si>
  <si>
    <t xml:space="preserve">ISO control covers the principle but SOC 2 audit expects additional evidence, cadence, or formality.</t>
  </si>
  <si>
    <t xml:space="preserve">Gap</t>
  </si>
  <si>
    <t xml:space="preserve">No ISO equivalent. Net-new control required for SOC 2.</t>
  </si>
  <si>
    <t xml:space="preserve">N/A</t>
  </si>
  <si>
    <t xml:space="preserve">Control does not apply to MeridianHealth (e.g., outsourced development, supporting utilities for cloud-only).</t>
  </si>
  <si>
    <t xml:space="preserve">ISO 27001:2022 Annex A Themes</t>
  </si>
  <si>
    <t xml:space="preserve">A.5 — Organizational</t>
  </si>
  <si>
    <t xml:space="preserve">37 controls: governance, policies, roles, supplier management, incident response, BCP.</t>
  </si>
  <si>
    <t xml:space="preserve">A.6 — People</t>
  </si>
  <si>
    <t xml:space="preserve">8 controls: screening, training, NDA, remote working, event reporting.</t>
  </si>
  <si>
    <t xml:space="preserve">A.7 — Physical</t>
  </si>
  <si>
    <t xml:space="preserve">14 controls: physical perimeters, equipment, media, environmental.</t>
  </si>
  <si>
    <t xml:space="preserve">A.8 — Technological</t>
  </si>
  <si>
    <t xml:space="preserve">34 controls: access, cryptography, vulnerability management, logging, change management.</t>
  </si>
  <si>
    <t xml:space="preserve">ISO Ref</t>
  </si>
  <si>
    <t xml:space="preserve">ISO Control Name</t>
  </si>
  <si>
    <t xml:space="preserve">Theme</t>
  </si>
  <si>
    <t xml:space="preserve">SOC 2 CC Criteria</t>
  </si>
  <si>
    <t xml:space="preserve">Reuse Rating</t>
  </si>
  <si>
    <t xml:space="preserve">Notes / Action Required</t>
  </si>
  <si>
    <t xml:space="preserve">A.5.1</t>
  </si>
  <si>
    <t xml:space="preserve">Policies for information security</t>
  </si>
  <si>
    <t xml:space="preserve">Organizational</t>
  </si>
  <si>
    <t xml:space="preserve">CC1.1, CC2.2, CC5.3</t>
  </si>
  <si>
    <t xml:space="preserve">Existing ISO 27001 ISMS policies directly satisfy SOC 2 policy requirements.</t>
  </si>
  <si>
    <t xml:space="preserve">A.5.2</t>
  </si>
  <si>
    <t xml:space="preserve">Information security roles and responsibilities</t>
  </si>
  <si>
    <t xml:space="preserve">CC1.3, CC1.5</t>
  </si>
  <si>
    <t xml:space="preserve">Roles documented in ISMS scope; reusable as-is.</t>
  </si>
  <si>
    <t xml:space="preserve">A.5.3</t>
  </si>
  <si>
    <t xml:space="preserve">Segregation of duties</t>
  </si>
  <si>
    <t xml:space="preserve">CC5.3</t>
  </si>
  <si>
    <t xml:space="preserve">ISO covers principle; SOC 2 expects formal SoD matrix with quarterly review.</t>
  </si>
  <si>
    <t xml:space="preserve">A.5.4</t>
  </si>
  <si>
    <t xml:space="preserve">Management responsibilities</t>
  </si>
  <si>
    <t xml:space="preserve">CC1.1, CC1.5</t>
  </si>
  <si>
    <t xml:space="preserve">Reusable from ISMS management review.</t>
  </si>
  <si>
    <t xml:space="preserve">A.5.5</t>
  </si>
  <si>
    <t xml:space="preserve">Contact with authorities</t>
  </si>
  <si>
    <t xml:space="preserve">CC2.3</t>
  </si>
  <si>
    <t xml:space="preserve">Reusable.</t>
  </si>
  <si>
    <t xml:space="preserve">A.5.6</t>
  </si>
  <si>
    <t xml:space="preserve">Contact with special interest groups</t>
  </si>
  <si>
    <t xml:space="preserve">CC2.1</t>
  </si>
  <si>
    <t xml:space="preserve">A.5.7</t>
  </si>
  <si>
    <t xml:space="preserve">Threat intelligence</t>
  </si>
  <si>
    <t xml:space="preserve">CC3.2, CC7.2</t>
  </si>
  <si>
    <t xml:space="preserve">Reusable from threat-intel programme.</t>
  </si>
  <si>
    <t xml:space="preserve">A.5.8</t>
  </si>
  <si>
    <t xml:space="preserve">Information security in project management</t>
  </si>
  <si>
    <t xml:space="preserve">CC3.3, CC8.1</t>
  </si>
  <si>
    <t xml:space="preserve">A.5.9</t>
  </si>
  <si>
    <t xml:space="preserve">Inventory of information and other associated assets</t>
  </si>
  <si>
    <t xml:space="preserve">CC6.1</t>
  </si>
  <si>
    <t xml:space="preserve">Asset register reusable.</t>
  </si>
  <si>
    <t xml:space="preserve">A.5.10</t>
  </si>
  <si>
    <t xml:space="preserve">Acceptable use of information and other associated assets</t>
  </si>
  <si>
    <t xml:space="preserve">CC1.1, CC2.2</t>
  </si>
  <si>
    <t xml:space="preserve">AUP reusable.</t>
  </si>
  <si>
    <t xml:space="preserve">A.5.11</t>
  </si>
  <si>
    <t xml:space="preserve">Return of assets</t>
  </si>
  <si>
    <t xml:space="preserve">CC6.2</t>
  </si>
  <si>
    <t xml:space="preserve">Reusable from offboarding process.</t>
  </si>
  <si>
    <t xml:space="preserve">A.5.12</t>
  </si>
  <si>
    <t xml:space="preserve">Classification of information</t>
  </si>
  <si>
    <t xml:space="preserve">CC9.2</t>
  </si>
  <si>
    <t xml:space="preserve">Data classification scheme reusable.</t>
  </si>
  <si>
    <t xml:space="preserve">A.5.13</t>
  </si>
  <si>
    <t xml:space="preserve">Labelling of information</t>
  </si>
  <si>
    <t xml:space="preserve">A.5.14</t>
  </si>
  <si>
    <t xml:space="preserve">Information transfer</t>
  </si>
  <si>
    <t xml:space="preserve">CC6.7</t>
  </si>
  <si>
    <t xml:space="preserve">Encryption-in-transit standard reusable.</t>
  </si>
  <si>
    <t xml:space="preserve">A.5.15</t>
  </si>
  <si>
    <t xml:space="preserve">Access control</t>
  </si>
  <si>
    <t xml:space="preserve">CC6.1, CC6.2</t>
  </si>
  <si>
    <t xml:space="preserve">Access control policy reusable.</t>
  </si>
  <si>
    <t xml:space="preserve">A.5.16</t>
  </si>
  <si>
    <t xml:space="preserve">Identity management</t>
  </si>
  <si>
    <t xml:space="preserve">Okta-based identity lifecycle reusable.</t>
  </si>
  <si>
    <t xml:space="preserve">A.5.17</t>
  </si>
  <si>
    <t xml:space="preserve">Authentication information</t>
  </si>
  <si>
    <t xml:space="preserve">CC6.3</t>
  </si>
  <si>
    <t xml:space="preserve">Authentication standards reusable.</t>
  </si>
  <si>
    <t xml:space="preserve">A.5.18</t>
  </si>
  <si>
    <t xml:space="preserve">Access rights</t>
  </si>
  <si>
    <t xml:space="preserve">ISO requires periodic review; SOC 2 expects quarterly cadence with sign-off retention.</t>
  </si>
  <si>
    <t xml:space="preserve">A.5.19</t>
  </si>
  <si>
    <t xml:space="preserve">Information security in supplier relationships</t>
  </si>
  <si>
    <t xml:space="preserve">Vendor risk policy reusable.</t>
  </si>
  <si>
    <t xml:space="preserve">A.5.20</t>
  </si>
  <si>
    <t xml:space="preserve">Addressing information security within supplier agreements</t>
  </si>
  <si>
    <t xml:space="preserve">Standard DPA/security addendum reusable.</t>
  </si>
  <si>
    <t xml:space="preserve">A.5.21</t>
  </si>
  <si>
    <t xml:space="preserve">Managing information security in the ICT supply chain</t>
  </si>
  <si>
    <t xml:space="preserve">ISO covers supply chain principle; SOC 2 expects formal sub-processor disclosure to customers.</t>
  </si>
  <si>
    <t xml:space="preserve">A.5.22</t>
  </si>
  <si>
    <t xml:space="preserve">Monitoring, review and change management of supplier services</t>
  </si>
  <si>
    <t xml:space="preserve">ISO requires periodic review; SOC 2 expects continuous monitoring (e.g. SecurityScorecard).</t>
  </si>
  <si>
    <t xml:space="preserve">A.5.23</t>
  </si>
  <si>
    <t xml:space="preserve">Information security for use of cloud services</t>
  </si>
  <si>
    <t xml:space="preserve">CC6.6, CC9.2</t>
  </si>
  <si>
    <t xml:space="preserve">Cloud security standard reusable.</t>
  </si>
  <si>
    <t xml:space="preserve">A.5.24</t>
  </si>
  <si>
    <t xml:space="preserve">Information security incident management planning and preparation</t>
  </si>
  <si>
    <t xml:space="preserve">CC7.3</t>
  </si>
  <si>
    <t xml:space="preserve">IR plan reusable.</t>
  </si>
  <si>
    <t xml:space="preserve">A.5.25</t>
  </si>
  <si>
    <t xml:space="preserve">Assessment and decision on information security events</t>
  </si>
  <si>
    <t xml:space="preserve">A.5.26</t>
  </si>
  <si>
    <t xml:space="preserve">Response to information security incidents</t>
  </si>
  <si>
    <t xml:space="preserve">CC7.4</t>
  </si>
  <si>
    <t xml:space="preserve">ISO covers internal response; SOC 2 expects defined customer notification SLA.</t>
  </si>
  <si>
    <t xml:space="preserve">A.5.27</t>
  </si>
  <si>
    <t xml:space="preserve">Learning from information security incidents</t>
  </si>
  <si>
    <t xml:space="preserve">CC7.5</t>
  </si>
  <si>
    <t xml:space="preserve">Post-mortem process reusable.</t>
  </si>
  <si>
    <t xml:space="preserve">A.5.28</t>
  </si>
  <si>
    <t xml:space="preserve">Collection of evidence</t>
  </si>
  <si>
    <t xml:space="preserve">A.5.29</t>
  </si>
  <si>
    <t xml:space="preserve">Information security during disruption</t>
  </si>
  <si>
    <t xml:space="preserve">CC9.1</t>
  </si>
  <si>
    <t xml:space="preserve">BCP integration reusable.</t>
  </si>
  <si>
    <t xml:space="preserve">A.5.30</t>
  </si>
  <si>
    <t xml:space="preserve">ICT readiness for business continuity</t>
  </si>
  <si>
    <t xml:space="preserve">ISO requires plan; SOC 2 auditors test recent DR test evidence (within 12 months).</t>
  </si>
  <si>
    <t xml:space="preserve">A.5.31</t>
  </si>
  <si>
    <t xml:space="preserve">Legal, statutory, regulatory and contractual requirements</t>
  </si>
  <si>
    <t xml:space="preserve">CC1.1, CC2.3</t>
  </si>
  <si>
    <t xml:space="preserve">Compliance register reusable.</t>
  </si>
  <si>
    <t xml:space="preserve">A.5.32</t>
  </si>
  <si>
    <t xml:space="preserve">Intellectual property rights</t>
  </si>
  <si>
    <t xml:space="preserve">CC1.1</t>
  </si>
  <si>
    <t xml:space="preserve">A.5.33</t>
  </si>
  <si>
    <t xml:space="preserve">Protection of records</t>
  </si>
  <si>
    <t xml:space="preserve">ISO covers retention; SOC 2 expects automated enforcement plus 12+ month evidence retention for change records.</t>
  </si>
  <si>
    <t xml:space="preserve">A.5.34</t>
  </si>
  <si>
    <t xml:space="preserve">Privacy and protection of PII</t>
  </si>
  <si>
    <t xml:space="preserve">Privacy programme aligned to APPs reusable; HIPAA overlay added separately.</t>
  </si>
  <si>
    <t xml:space="preserve">A.5.35</t>
  </si>
  <si>
    <t xml:space="preserve">Independent review of information security</t>
  </si>
  <si>
    <t xml:space="preserve">CC4.1</t>
  </si>
  <si>
    <t xml:space="preserve">ISO satisfied by surveillance audit; SOC 2 expects independent internal audit function.</t>
  </si>
  <si>
    <t xml:space="preserve">A.5.36</t>
  </si>
  <si>
    <t xml:space="preserve">Compliance with policies, rules and standards for information security</t>
  </si>
  <si>
    <t xml:space="preserve">CC4.1, CC4.2</t>
  </si>
  <si>
    <t xml:space="preserve">A.5.37</t>
  </si>
  <si>
    <t xml:space="preserve">Documented operating procedures</t>
  </si>
  <si>
    <t xml:space="preserve">A.6.1</t>
  </si>
  <si>
    <t xml:space="preserve">Screening</t>
  </si>
  <si>
    <t xml:space="preserve">People</t>
  </si>
  <si>
    <t xml:space="preserve">Background check process reusable.</t>
  </si>
  <si>
    <t xml:space="preserve">A.6.2</t>
  </si>
  <si>
    <t xml:space="preserve">Terms and conditions of employment</t>
  </si>
  <si>
    <t xml:space="preserve">A.6.3</t>
  </si>
  <si>
    <t xml:space="preserve">Information security awareness, education and training</t>
  </si>
  <si>
    <t xml:space="preserve">CC1.4</t>
  </si>
  <si>
    <t xml:space="preserve">ISO requires annual training; SOC 2 audit expects 100% completion evidence per user, plus phishing simulation.</t>
  </si>
  <si>
    <t xml:space="preserve">A.6.4</t>
  </si>
  <si>
    <t xml:space="preserve">Disciplinary process</t>
  </si>
  <si>
    <t xml:space="preserve">CC1.5</t>
  </si>
  <si>
    <t xml:space="preserve">A.6.5</t>
  </si>
  <si>
    <t xml:space="preserve">Responsibilities after termination or change of employment</t>
  </si>
  <si>
    <t xml:space="preserve">Reusable from offboarding.</t>
  </si>
  <si>
    <t xml:space="preserve">A.6.6</t>
  </si>
  <si>
    <t xml:space="preserve">Confidentiality or non-disclosure agreements</t>
  </si>
  <si>
    <t xml:space="preserve">NDAs reusable.</t>
  </si>
  <si>
    <t xml:space="preserve">A.6.7</t>
  </si>
  <si>
    <t xml:space="preserve">Remote working</t>
  </si>
  <si>
    <t xml:space="preserve">CC6.1, CC6.7</t>
  </si>
  <si>
    <t xml:space="preserve">Remote work policy reusable.</t>
  </si>
  <si>
    <t xml:space="preserve">A.6.8</t>
  </si>
  <si>
    <t xml:space="preserve">Information security event reporting</t>
  </si>
  <si>
    <t xml:space="preserve">CC2.2, CC7.3</t>
  </si>
  <si>
    <t xml:space="preserve">A.7.1</t>
  </si>
  <si>
    <t xml:space="preserve">Physical security perimeters</t>
  </si>
  <si>
    <t xml:space="preserve">Physical</t>
  </si>
  <si>
    <t xml:space="preserve">CC6.4</t>
  </si>
  <si>
    <t xml:space="preserve">Office security reusable; data centre carved out to AWS.</t>
  </si>
  <si>
    <t xml:space="preserve">A.7.2</t>
  </si>
  <si>
    <t xml:space="preserve">Physical entry</t>
  </si>
  <si>
    <t xml:space="preserve">Kisi access control reusable.</t>
  </si>
  <si>
    <t xml:space="preserve">A.7.3</t>
  </si>
  <si>
    <t xml:space="preserve">Securing offices, rooms and facilities</t>
  </si>
  <si>
    <t xml:space="preserve">A.7.4</t>
  </si>
  <si>
    <t xml:space="preserve">Physical security monitoring</t>
  </si>
  <si>
    <t xml:space="preserve">CCTV and visitor logs reusable.</t>
  </si>
  <si>
    <t xml:space="preserve">A.7.5</t>
  </si>
  <si>
    <t xml:space="preserve">Protecting against physical and environmental threats</t>
  </si>
  <si>
    <t xml:space="preserve">Reusable; AWS responsibility for cloud.</t>
  </si>
  <si>
    <t xml:space="preserve">A.7.6</t>
  </si>
  <si>
    <t xml:space="preserve">Working in secure areas</t>
  </si>
  <si>
    <t xml:space="preserve">A.7.7</t>
  </si>
  <si>
    <t xml:space="preserve">Clear desk and clear screen</t>
  </si>
  <si>
    <t xml:space="preserve">Policy reusable.</t>
  </si>
  <si>
    <t xml:space="preserve">A.7.8</t>
  </si>
  <si>
    <t xml:space="preserve">Equipment siting and protection</t>
  </si>
  <si>
    <t xml:space="preserve">A.7.9</t>
  </si>
  <si>
    <t xml:space="preserve">Security of assets off-premises</t>
  </si>
  <si>
    <t xml:space="preserve">Mobile device policy reusable.</t>
  </si>
  <si>
    <t xml:space="preserve">A.7.10</t>
  </si>
  <si>
    <t xml:space="preserve">Storage media</t>
  </si>
  <si>
    <t xml:space="preserve">CC6.5</t>
  </si>
  <si>
    <t xml:space="preserve">ISO requires policy; SOC 2 expects documented Media Sanitisation Standard with destruction certificates.</t>
  </si>
  <si>
    <t xml:space="preserve">A.7.11</t>
  </si>
  <si>
    <t xml:space="preserve">Supporting utilities</t>
  </si>
  <si>
    <t xml:space="preserve">AWS responsibility — carved-out sub-service organisation.</t>
  </si>
  <si>
    <t xml:space="preserve">A.7.12</t>
  </si>
  <si>
    <t xml:space="preserve">Cabling security</t>
  </si>
  <si>
    <t xml:space="preserve">Office cabling reusable; AWS responsibility for cloud.</t>
  </si>
  <si>
    <t xml:space="preserve">A.7.13</t>
  </si>
  <si>
    <t xml:space="preserve">Equipment maintenance</t>
  </si>
  <si>
    <t xml:space="preserve">A.7.14</t>
  </si>
  <si>
    <t xml:space="preserve">Secure disposal or re-use of equipment</t>
  </si>
  <si>
    <t xml:space="preserve">ISO covers principle; SOC 2 expects retention of disposal certificates for sample testing.</t>
  </si>
  <si>
    <t xml:space="preserve">A.8.1</t>
  </si>
  <si>
    <t xml:space="preserve">User end point devices</t>
  </si>
  <si>
    <t xml:space="preserve">Technological</t>
  </si>
  <si>
    <t xml:space="preserve">Jamf/Intune MDM reusable.</t>
  </si>
  <si>
    <t xml:space="preserve">A.8.2</t>
  </si>
  <si>
    <t xml:space="preserve">Privileged access rights</t>
  </si>
  <si>
    <t xml:space="preserve">ISO covers policy; SOC 2 expects PAM tooling with session recording for OS-level access.</t>
  </si>
  <si>
    <t xml:space="preserve">A.8.3</t>
  </si>
  <si>
    <t xml:space="preserve">Information access restriction</t>
  </si>
  <si>
    <t xml:space="preserve">A.8.4</t>
  </si>
  <si>
    <t xml:space="preserve">Access to source code</t>
  </si>
  <si>
    <t xml:space="preserve">CC6.1, CC8.1</t>
  </si>
  <si>
    <t xml:space="preserve">GitHub Enterprise restrictions reusable.</t>
  </si>
  <si>
    <t xml:space="preserve">A.8.5</t>
  </si>
  <si>
    <t xml:space="preserve">Secure authentication</t>
  </si>
  <si>
    <t xml:space="preserve">Okta MFA reusable.</t>
  </si>
  <si>
    <t xml:space="preserve">A.8.6</t>
  </si>
  <si>
    <t xml:space="preserve">Capacity management</t>
  </si>
  <si>
    <t xml:space="preserve">CC7.1</t>
  </si>
  <si>
    <t xml:space="preserve">AWS auto-scaling reusable.</t>
  </si>
  <si>
    <t xml:space="preserve">A.8.7</t>
  </si>
  <si>
    <t xml:space="preserve">Protection against malware</t>
  </si>
  <si>
    <t xml:space="preserve">CrowdStrike Falcon reusable.</t>
  </si>
  <si>
    <t xml:space="preserve">A.8.8</t>
  </si>
  <si>
    <t xml:space="preserve">Management of technical vulnerabilities</t>
  </si>
  <si>
    <t xml:space="preserve">ISO requires programme; SOC 2 audit expects SLA compliance evidence and overdue tracking.</t>
  </si>
  <si>
    <t xml:space="preserve">A.8.9</t>
  </si>
  <si>
    <t xml:space="preserve">Configuration management</t>
  </si>
  <si>
    <t xml:space="preserve">CC8.1</t>
  </si>
  <si>
    <t xml:space="preserve">Terraform/IaC reusable.</t>
  </si>
  <si>
    <t xml:space="preserve">A.8.10</t>
  </si>
  <si>
    <t xml:space="preserve">Information deletion</t>
  </si>
  <si>
    <t xml:space="preserve">ISO covers principle; SOC 2 expects automated retention enforcement across all data types.</t>
  </si>
  <si>
    <t xml:space="preserve">A.8.11</t>
  </si>
  <si>
    <t xml:space="preserve">Data masking</t>
  </si>
  <si>
    <t xml:space="preserve">Reusable from non-production data handling standard.</t>
  </si>
  <si>
    <t xml:space="preserve">A.8.12</t>
  </si>
  <si>
    <t xml:space="preserve">Data leakage prevention</t>
  </si>
  <si>
    <t xml:space="preserve">DLP via Microsoft Purview reusable.</t>
  </si>
  <si>
    <t xml:space="preserve">A.8.13</t>
  </si>
  <si>
    <t xml:space="preserve">Information backup</t>
  </si>
  <si>
    <t xml:space="preserve">ISO requires backups; SOC 2 expects recent (within 12 months) recovery test evidence.</t>
  </si>
  <si>
    <t xml:space="preserve">A.8.14</t>
  </si>
  <si>
    <t xml:space="preserve">Redundancy of information processing facilities</t>
  </si>
  <si>
    <t xml:space="preserve">Multi-AZ AWS architecture reusable.</t>
  </si>
  <si>
    <t xml:space="preserve">A.8.15</t>
  </si>
  <si>
    <t xml:space="preserve">Logging</t>
  </si>
  <si>
    <t xml:space="preserve">CC7.2</t>
  </si>
  <si>
    <t xml:space="preserve">Datadog SIEM reusable.</t>
  </si>
  <si>
    <t xml:space="preserve">A.8.16</t>
  </si>
  <si>
    <t xml:space="preserve">Monitoring activities</t>
  </si>
  <si>
    <t xml:space="preserve">CC4.1, CC7.2</t>
  </si>
  <si>
    <t xml:space="preserve">Continuous monitoring reusable.</t>
  </si>
  <si>
    <t xml:space="preserve">A.8.17</t>
  </si>
  <si>
    <t xml:space="preserve">Clock synchronization</t>
  </si>
  <si>
    <t xml:space="preserve">NTP reusable.</t>
  </si>
  <si>
    <t xml:space="preserve">A.8.18</t>
  </si>
  <si>
    <t xml:space="preserve">Use of privileged utility programs</t>
  </si>
  <si>
    <t xml:space="preserve">A.8.19</t>
  </si>
  <si>
    <t xml:space="preserve">Installation of software on operational systems</t>
  </si>
  <si>
    <t xml:space="preserve">A.8.20</t>
  </si>
  <si>
    <t xml:space="preserve">Networks security</t>
  </si>
  <si>
    <t xml:space="preserve">CC6.6</t>
  </si>
  <si>
    <t xml:space="preserve">AWS network architecture reusable.</t>
  </si>
  <si>
    <t xml:space="preserve">A.8.21</t>
  </si>
  <si>
    <t xml:space="preserve">Security of network services</t>
  </si>
  <si>
    <t xml:space="preserve">A.8.22</t>
  </si>
  <si>
    <t xml:space="preserve">Segregation of networks</t>
  </si>
  <si>
    <t xml:space="preserve">VPC segmentation reusable.</t>
  </si>
  <si>
    <t xml:space="preserve">A.8.23</t>
  </si>
  <si>
    <t xml:space="preserve">Web filtering</t>
  </si>
  <si>
    <t xml:space="preserve">Zscaler reusable.</t>
  </si>
  <si>
    <t xml:space="preserve">A.8.24</t>
  </si>
  <si>
    <t xml:space="preserve">Use of cryptography</t>
  </si>
  <si>
    <t xml:space="preserve">CC6.7, CC6.8</t>
  </si>
  <si>
    <t xml:space="preserve">KMS-based encryption standard reusable.</t>
  </si>
  <si>
    <t xml:space="preserve">A.8.25</t>
  </si>
  <si>
    <t xml:space="preserve">Secure development life cycle</t>
  </si>
  <si>
    <t xml:space="preserve">SDLC reusable.</t>
  </si>
  <si>
    <t xml:space="preserve">A.8.26</t>
  </si>
  <si>
    <t xml:space="preserve">Application security requirements</t>
  </si>
  <si>
    <t xml:space="preserve">Security requirements baseline reusable.</t>
  </si>
  <si>
    <t xml:space="preserve">A.8.27</t>
  </si>
  <si>
    <t xml:space="preserve">Secure system architecture and engineering principles</t>
  </si>
  <si>
    <t xml:space="preserve">Secure architecture standard reusable.</t>
  </si>
  <si>
    <t xml:space="preserve">A.8.28</t>
  </si>
  <si>
    <t xml:space="preserve">Secure coding</t>
  </si>
  <si>
    <t xml:space="preserve">Snyk + secure coding standard reusable.</t>
  </si>
  <si>
    <t xml:space="preserve">A.8.29</t>
  </si>
  <si>
    <t xml:space="preserve">Security testing in development and acceptance</t>
  </si>
  <si>
    <t xml:space="preserve">CI/CD security tests reusable.</t>
  </si>
  <si>
    <t xml:space="preserve">A.8.30</t>
  </si>
  <si>
    <t xml:space="preserve">Outsourced development</t>
  </si>
  <si>
    <t xml:space="preserve">CC8.1, CC9.2</t>
  </si>
  <si>
    <t xml:space="preserve">No outsourced development at MeridianHealth.</t>
  </si>
  <si>
    <t xml:space="preserve">A.8.31</t>
  </si>
  <si>
    <t xml:space="preserve">Separation of development, test and production environments</t>
  </si>
  <si>
    <t xml:space="preserve">Separate AWS accounts reusable.</t>
  </si>
  <si>
    <t xml:space="preserve">A.8.32</t>
  </si>
  <si>
    <t xml:space="preserve">Change management</t>
  </si>
  <si>
    <t xml:space="preserve">ISO covers process; SOC 2 expects 12+ month evidence retention for changes (currently 6 months).</t>
  </si>
  <si>
    <t xml:space="preserve">A.8.33</t>
  </si>
  <si>
    <t xml:space="preserve">Test information</t>
  </si>
  <si>
    <t xml:space="preserve">CC6.7, CC8.1</t>
  </si>
  <si>
    <t xml:space="preserve">A.8.34</t>
  </si>
  <si>
    <t xml:space="preserve">Protection of information systems during audit testing</t>
  </si>
  <si>
    <t xml:space="preserve">REUSE SUMMARY</t>
  </si>
  <si>
    <t xml:space="preserve">Existing ISO 27001:2022 ISMS reuse for SOC 2 Type 1 Security TSC</t>
  </si>
  <si>
    <t xml:space="preserve">HEADLINE METRICS</t>
  </si>
  <si>
    <t xml:space="preserve">Total ISO 27001:2022 Annex A controls</t>
  </si>
  <si>
    <t xml:space="preserve">Full reuse</t>
  </si>
  <si>
    <t xml:space="preserve">Partial reuse</t>
  </si>
  <si>
    <t xml:space="preserve">Gap (net-new control needed)</t>
  </si>
  <si>
    <t xml:space="preserve">Not Applicable</t>
  </si>
  <si>
    <t xml:space="preserve">% Full Reuse (excl. N/A)</t>
  </si>
  <si>
    <t xml:space="preserve">% Reusable (Full + Partial, excl. N/A)</t>
  </si>
  <si>
    <t xml:space="preserve">Net-new SOC 2 controls required (from Gap Analysis)</t>
  </si>
  <si>
    <t xml:space="preserve">12</t>
  </si>
  <si>
    <t xml:space="preserve">REUSE BY ISO THEME</t>
  </si>
  <si>
    <t xml:space="preserve">Total</t>
  </si>
  <si>
    <t xml:space="preserve">% Full</t>
  </si>
  <si>
    <t xml:space="preserve">% Reusable</t>
  </si>
  <si>
    <t xml:space="preserve">TOTAL</t>
  </si>
  <si>
    <t xml:space="preserve">KEY INSIGHT</t>
  </si>
  <si>
    <t xml:space="preserve">Approximately 70% of MeridianHealth's existing ISO 27001:2022 ISMS controls map directly to SOC 2 Security TSC. This represents a substantial reduction in net-new control build effort. The remaining ~30% comprises Partial-reuse controls (requiring evidence strengthening or cadence changes) and net-new SOC 2 controls captured on the Gap Analysis sheet.</t>
  </si>
  <si>
    <t xml:space="preserve">NET-NEW SOC 2 CONTROLS — NO ISO EQUIVALENT</t>
  </si>
  <si>
    <t xml:space="preserve">SOC 2 Security TSC criteria where MeridianHealth's existing ISMS does not provide a direct control.</t>
  </si>
  <si>
    <t xml:space="preserve">#</t>
  </si>
  <si>
    <t xml:space="preserve">SOC 2 CC</t>
  </si>
  <si>
    <t xml:space="preserve">Net-New Control Required</t>
  </si>
  <si>
    <t xml:space="preserve">Why ISO Does Not Cover This</t>
  </si>
  <si>
    <t xml:space="preserve">1</t>
  </si>
  <si>
    <t xml:space="preserve">CC1.2</t>
  </si>
  <si>
    <t xml:space="preserve">Board oversight of security with documented Charter and Risk Appetite</t>
  </si>
  <si>
    <t xml:space="preserve">ISO requires top management commitment but does not mandate Board-level Security Charter.</t>
  </si>
  <si>
    <t xml:space="preserve">2</t>
  </si>
  <si>
    <t xml:space="preserve">Customer-facing Trust Centre with public security commitments</t>
  </si>
  <si>
    <t xml:space="preserve">ISO does not require external customer-facing security communication; SOC 2 effectively does for SaaS.</t>
  </si>
  <si>
    <t xml:space="preserve">3</t>
  </si>
  <si>
    <t xml:space="preserve">Defined customer incident notification SLA (e.g., 72 hours)</t>
  </si>
  <si>
    <t xml:space="preserve">ISO leaves notification timing to 'reasonable timeframes'; US healthcare clients expect contractual SLA.</t>
  </si>
  <si>
    <t xml:space="preserve">4</t>
  </si>
  <si>
    <t xml:space="preserve">CC3.2</t>
  </si>
  <si>
    <t xml:space="preserve">Formal fraud risk assessment</t>
  </si>
  <si>
    <t xml:space="preserve">Not explicitly required by ISO 27001; expected by SOC 2 (links to COSO framework).</t>
  </si>
  <si>
    <t xml:space="preserve">5</t>
  </si>
  <si>
    <t xml:space="preserve">Independent internal audit function</t>
  </si>
  <si>
    <t xml:space="preserve">ISO accepts surveillance audits as independence; SOC 2 expects internal audit independent of management.</t>
  </si>
  <si>
    <t xml:space="preserve">6</t>
  </si>
  <si>
    <t xml:space="preserve">Quarterly access reviews (vs annual)</t>
  </si>
  <si>
    <t xml:space="preserve">ISO requires periodic review; quarterly is the SOC 2 audit expectation.</t>
  </si>
  <si>
    <t xml:space="preserve">7</t>
  </si>
  <si>
    <t xml:space="preserve">Service account inventory with owner mapping</t>
  </si>
  <si>
    <t xml:space="preserve">Not explicitly required by ISO; SOC 2 audit pattern.</t>
  </si>
  <si>
    <t xml:space="preserve">8</t>
  </si>
  <si>
    <t xml:space="preserve">Customer communications playbook</t>
  </si>
  <si>
    <t xml:space="preserve">ISO covers internal communications; SOC 2 expects external communications by audience.</t>
  </si>
  <si>
    <t xml:space="preserve">9</t>
  </si>
  <si>
    <t xml:space="preserve">Emergency change formal process with retrospective approval</t>
  </si>
  <si>
    <t xml:space="preserve">ISO covers change management broadly; SOC 2 expects emergency change carve-out documented.</t>
  </si>
  <si>
    <t xml:space="preserve">10</t>
  </si>
  <si>
    <t xml:space="preserve">12+ month change evidence retention</t>
  </si>
  <si>
    <t xml:space="preserve">ISO leaves retention to risk decision; SOC 2 audit period drives 12+ month minimum.</t>
  </si>
  <si>
    <t xml:space="preserve">11</t>
  </si>
  <si>
    <t xml:space="preserve">CUEC (Complementary User Entity Control) tracker</t>
  </si>
  <si>
    <t xml:space="preserve">Unique to SOC 2 framework; maps each sub-service organisation control to a MeridianHealth control.</t>
  </si>
  <si>
    <t xml:space="preserve">Continuous vendor monitoring (e.g. SecurityScorecard)</t>
  </si>
  <si>
    <t xml:space="preserve">ISO requires periodic supplier review; SOC 2 audit pattern is continuous monitoring for Tier 1 vendors.</t>
  </si>
  <si>
    <t xml:space="preserve">Total net-new SOC 2 controls required: 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</si>
</sst>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5E8F0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FFF2F2F2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D5E8F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75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 t="s">
        <v>3</v>
      </c>
    </row>
    <row r="6" customFormat="false" ht="15" hidden="false" customHeight="false" outlineLevel="0" collapsed="false">
      <c r="B6" s="4" t="s">
        <v>4</v>
      </c>
      <c r="C6" s="5" t="s">
        <v>5</v>
      </c>
    </row>
    <row r="7" customFormat="false" ht="15" hidden="false" customHeight="false" outlineLevel="0" collapsed="false">
      <c r="B7" s="4" t="s">
        <v>6</v>
      </c>
      <c r="C7" s="5" t="s">
        <v>7</v>
      </c>
    </row>
    <row r="8" customFormat="false" ht="15" hidden="false" customHeight="false" outlineLevel="0" collapsed="false">
      <c r="B8" s="4" t="s">
        <v>8</v>
      </c>
      <c r="C8" s="5" t="s">
        <v>9</v>
      </c>
    </row>
    <row r="9" customFormat="false" ht="15" hidden="false" customHeight="false" outlineLevel="0" collapsed="false">
      <c r="B9" s="4" t="s">
        <v>10</v>
      </c>
      <c r="C9" s="5" t="s">
        <v>11</v>
      </c>
    </row>
    <row r="10" customFormat="false" ht="15" hidden="false" customHeight="false" outlineLevel="0" collapsed="false">
      <c r="B10" s="4" t="s">
        <v>12</v>
      </c>
      <c r="C10" s="5" t="s">
        <v>13</v>
      </c>
    </row>
    <row r="11" customFormat="false" ht="15" hidden="false" customHeight="false" outlineLevel="0" collapsed="false">
      <c r="B11" s="4" t="s">
        <v>14</v>
      </c>
      <c r="C11" s="5" t="s">
        <v>15</v>
      </c>
    </row>
    <row r="12" customFormat="false" ht="15" hidden="false" customHeight="false" outlineLevel="0" collapsed="false">
      <c r="B12" s="4" t="s">
        <v>16</v>
      </c>
      <c r="C12" s="5" t="s">
        <v>17</v>
      </c>
    </row>
    <row r="13" customFormat="false" ht="15" hidden="false" customHeight="false" outlineLevel="0" collapsed="false">
      <c r="B13" s="4" t="s">
        <v>18</v>
      </c>
      <c r="C13" s="5" t="s">
        <v>19</v>
      </c>
    </row>
    <row r="16" customFormat="false" ht="17.35" hidden="false" customHeight="false" outlineLevel="0" collapsed="false">
      <c r="B16" s="6" t="s">
        <v>20</v>
      </c>
    </row>
    <row r="17" customFormat="false" ht="15" hidden="false" customHeight="false" outlineLevel="0" collapsed="false">
      <c r="B17" s="4" t="s">
        <v>21</v>
      </c>
      <c r="C17" s="5" t="s">
        <v>22</v>
      </c>
    </row>
    <row r="18" customFormat="false" ht="15" hidden="false" customHeight="false" outlineLevel="0" collapsed="false">
      <c r="B18" s="4" t="s">
        <v>23</v>
      </c>
      <c r="C18" s="5" t="s">
        <v>24</v>
      </c>
    </row>
    <row r="19" customFormat="false" ht="15" hidden="false" customHeight="false" outlineLevel="0" collapsed="false">
      <c r="B19" s="4" t="s">
        <v>25</v>
      </c>
      <c r="C19" s="5" t="s">
        <v>26</v>
      </c>
    </row>
    <row r="20" customFormat="false" ht="15" hidden="false" customHeight="false" outlineLevel="0" collapsed="false">
      <c r="B20" s="4" t="s">
        <v>27</v>
      </c>
      <c r="C20" s="5" t="s">
        <v>28</v>
      </c>
    </row>
    <row r="21" customFormat="false" ht="15" hidden="false" customHeight="false" outlineLevel="0" collapsed="false">
      <c r="B21" s="4" t="s">
        <v>29</v>
      </c>
      <c r="C21" s="5" t="s">
        <v>30</v>
      </c>
    </row>
    <row r="24" customFormat="false" ht="15" hidden="false" customHeight="false" outlineLevel="0" collapsed="false">
      <c r="B24" s="7" t="s">
        <v>31</v>
      </c>
    </row>
    <row r="25" customFormat="false" ht="15" hidden="false" customHeight="true" outlineLevel="0" collapsed="false">
      <c r="B25" s="8" t="s">
        <v>32</v>
      </c>
      <c r="C25" s="8"/>
    </row>
    <row r="26" customFormat="false" ht="15" hidden="false" customHeight="false" outlineLevel="0" collapsed="false">
      <c r="B26" s="8"/>
      <c r="C26" s="8"/>
    </row>
    <row r="27" customFormat="false" ht="15" hidden="false" customHeight="false" outlineLevel="0" collapsed="false">
      <c r="B27" s="8"/>
      <c r="C27" s="8"/>
    </row>
  </sheetData>
  <mergeCells count="1">
    <mergeCell ref="B25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95"/>
  </cols>
  <sheetData>
    <row r="2" customFormat="false" ht="19.7" hidden="false" customHeight="false" outlineLevel="0" collapsed="false">
      <c r="B2" s="9" t="s">
        <v>33</v>
      </c>
    </row>
    <row r="4" customFormat="false" ht="15" hidden="false" customHeight="false" outlineLevel="0" collapsed="false">
      <c r="B4" s="10" t="s">
        <v>34</v>
      </c>
    </row>
    <row r="5" customFormat="false" ht="24" hidden="false" customHeight="true" outlineLevel="0" collapsed="false">
      <c r="C5" s="11" t="s">
        <v>35</v>
      </c>
    </row>
    <row r="6" customFormat="false" ht="24" hidden="false" customHeight="true" outlineLevel="0" collapsed="false">
      <c r="C6" s="11" t="s">
        <v>36</v>
      </c>
    </row>
    <row r="7" customFormat="false" ht="24" hidden="false" customHeight="true" outlineLevel="0" collapsed="false">
      <c r="C7" s="11" t="s">
        <v>37</v>
      </c>
    </row>
    <row r="8" customFormat="false" ht="24" hidden="false" customHeight="true" outlineLevel="0" collapsed="false">
      <c r="C8" s="11" t="s">
        <v>38</v>
      </c>
    </row>
    <row r="9" customFormat="false" ht="24" hidden="false" customHeight="true" outlineLevel="0" collapsed="false">
      <c r="C9" s="11" t="s">
        <v>39</v>
      </c>
    </row>
    <row r="12" customFormat="false" ht="15" hidden="false" customHeight="false" outlineLevel="0" collapsed="false">
      <c r="B12" s="10" t="s">
        <v>40</v>
      </c>
    </row>
    <row r="13" customFormat="false" ht="27.75" hidden="false" customHeight="true" outlineLevel="0" collapsed="false">
      <c r="B13" s="12" t="s">
        <v>41</v>
      </c>
      <c r="C13" s="13" t="s">
        <v>42</v>
      </c>
    </row>
    <row r="14" customFormat="false" ht="27.75" hidden="false" customHeight="true" outlineLevel="0" collapsed="false">
      <c r="B14" s="14" t="s">
        <v>43</v>
      </c>
      <c r="C14" s="13" t="s">
        <v>44</v>
      </c>
    </row>
    <row r="15" customFormat="false" ht="27.75" hidden="false" customHeight="true" outlineLevel="0" collapsed="false">
      <c r="B15" s="15" t="s">
        <v>45</v>
      </c>
      <c r="C15" s="13" t="s">
        <v>46</v>
      </c>
    </row>
    <row r="16" customFormat="false" ht="27.75" hidden="false" customHeight="true" outlineLevel="0" collapsed="false">
      <c r="B16" s="16" t="s">
        <v>47</v>
      </c>
      <c r="C16" s="13" t="s">
        <v>48</v>
      </c>
    </row>
    <row r="19" customFormat="false" ht="15" hidden="false" customHeight="false" outlineLevel="0" collapsed="false">
      <c r="B19" s="10" t="s">
        <v>49</v>
      </c>
    </row>
    <row r="20" customFormat="false" ht="24" hidden="false" customHeight="true" outlineLevel="0" collapsed="false">
      <c r="B20" s="17" t="s">
        <v>50</v>
      </c>
      <c r="C20" s="13" t="s">
        <v>51</v>
      </c>
    </row>
    <row r="21" customFormat="false" ht="24" hidden="false" customHeight="true" outlineLevel="0" collapsed="false">
      <c r="B21" s="17" t="s">
        <v>52</v>
      </c>
      <c r="C21" s="13" t="s">
        <v>53</v>
      </c>
    </row>
    <row r="22" customFormat="false" ht="24" hidden="false" customHeight="true" outlineLevel="0" collapsed="false">
      <c r="B22" s="17" t="s">
        <v>54</v>
      </c>
      <c r="C22" s="13" t="s">
        <v>55</v>
      </c>
    </row>
    <row r="23" customFormat="false" ht="24" hidden="false" customHeight="true" outlineLevel="0" collapsed="false">
      <c r="B23" s="17" t="s">
        <v>56</v>
      </c>
      <c r="C23" s="1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0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16"/>
    <col collapsed="false" customWidth="true" hidden="false" outlineLevel="0" max="6" min="6" style="1" width="65"/>
  </cols>
  <sheetData>
    <row r="1" customFormat="false" ht="30" hidden="false" customHeight="true" outlineLevel="0" collapsed="false">
      <c r="A1" s="18" t="s">
        <v>58</v>
      </c>
      <c r="B1" s="18" t="s">
        <v>59</v>
      </c>
      <c r="C1" s="18" t="s">
        <v>60</v>
      </c>
      <c r="D1" s="18" t="s">
        <v>61</v>
      </c>
      <c r="E1" s="18" t="s">
        <v>62</v>
      </c>
      <c r="F1" s="18" t="s">
        <v>63</v>
      </c>
    </row>
    <row r="2" customFormat="false" ht="37.5" hidden="false" customHeight="true" outlineLevel="0" collapsed="false">
      <c r="A2" s="19" t="s">
        <v>64</v>
      </c>
      <c r="B2" s="19" t="s">
        <v>65</v>
      </c>
      <c r="C2" s="19" t="s">
        <v>66</v>
      </c>
      <c r="D2" s="19" t="s">
        <v>67</v>
      </c>
      <c r="E2" s="19" t="s">
        <v>41</v>
      </c>
      <c r="F2" s="19" t="s">
        <v>68</v>
      </c>
    </row>
    <row r="3" customFormat="false" ht="37.5" hidden="false" customHeight="true" outlineLevel="0" collapsed="false">
      <c r="A3" s="19" t="s">
        <v>69</v>
      </c>
      <c r="B3" s="19" t="s">
        <v>70</v>
      </c>
      <c r="C3" s="19" t="s">
        <v>66</v>
      </c>
      <c r="D3" s="19" t="s">
        <v>71</v>
      </c>
      <c r="E3" s="19" t="s">
        <v>41</v>
      </c>
      <c r="F3" s="19" t="s">
        <v>72</v>
      </c>
    </row>
    <row r="4" customFormat="false" ht="37.5" hidden="false" customHeight="true" outlineLevel="0" collapsed="false">
      <c r="A4" s="19" t="s">
        <v>73</v>
      </c>
      <c r="B4" s="19" t="s">
        <v>74</v>
      </c>
      <c r="C4" s="19" t="s">
        <v>66</v>
      </c>
      <c r="D4" s="19" t="s">
        <v>75</v>
      </c>
      <c r="E4" s="19" t="s">
        <v>43</v>
      </c>
      <c r="F4" s="19" t="s">
        <v>76</v>
      </c>
    </row>
    <row r="5" customFormat="false" ht="37.5" hidden="false" customHeight="true" outlineLevel="0" collapsed="false">
      <c r="A5" s="19" t="s">
        <v>77</v>
      </c>
      <c r="B5" s="19" t="s">
        <v>78</v>
      </c>
      <c r="C5" s="19" t="s">
        <v>66</v>
      </c>
      <c r="D5" s="19" t="s">
        <v>79</v>
      </c>
      <c r="E5" s="19" t="s">
        <v>41</v>
      </c>
      <c r="F5" s="19" t="s">
        <v>80</v>
      </c>
    </row>
    <row r="6" customFormat="false" ht="37.5" hidden="false" customHeight="true" outlineLevel="0" collapsed="false">
      <c r="A6" s="19" t="s">
        <v>81</v>
      </c>
      <c r="B6" s="19" t="s">
        <v>82</v>
      </c>
      <c r="C6" s="19" t="s">
        <v>66</v>
      </c>
      <c r="D6" s="19" t="s">
        <v>83</v>
      </c>
      <c r="E6" s="19" t="s">
        <v>41</v>
      </c>
      <c r="F6" s="19" t="s">
        <v>84</v>
      </c>
    </row>
    <row r="7" customFormat="false" ht="37.5" hidden="false" customHeight="true" outlineLevel="0" collapsed="false">
      <c r="A7" s="19" t="s">
        <v>85</v>
      </c>
      <c r="B7" s="19" t="s">
        <v>86</v>
      </c>
      <c r="C7" s="19" t="s">
        <v>66</v>
      </c>
      <c r="D7" s="19" t="s">
        <v>87</v>
      </c>
      <c r="E7" s="19" t="s">
        <v>41</v>
      </c>
      <c r="F7" s="19" t="s">
        <v>84</v>
      </c>
    </row>
    <row r="8" customFormat="false" ht="37.5" hidden="false" customHeight="true" outlineLevel="0" collapsed="false">
      <c r="A8" s="19" t="s">
        <v>88</v>
      </c>
      <c r="B8" s="19" t="s">
        <v>89</v>
      </c>
      <c r="C8" s="19" t="s">
        <v>66</v>
      </c>
      <c r="D8" s="19" t="s">
        <v>90</v>
      </c>
      <c r="E8" s="19" t="s">
        <v>41</v>
      </c>
      <c r="F8" s="19" t="s">
        <v>91</v>
      </c>
    </row>
    <row r="9" customFormat="false" ht="37.5" hidden="false" customHeight="true" outlineLevel="0" collapsed="false">
      <c r="A9" s="19" t="s">
        <v>92</v>
      </c>
      <c r="B9" s="19" t="s">
        <v>93</v>
      </c>
      <c r="C9" s="19" t="s">
        <v>66</v>
      </c>
      <c r="D9" s="19" t="s">
        <v>94</v>
      </c>
      <c r="E9" s="19" t="s">
        <v>41</v>
      </c>
      <c r="F9" s="19" t="s">
        <v>84</v>
      </c>
    </row>
    <row r="10" customFormat="false" ht="37.5" hidden="false" customHeight="true" outlineLevel="0" collapsed="false">
      <c r="A10" s="19" t="s">
        <v>95</v>
      </c>
      <c r="B10" s="19" t="s">
        <v>96</v>
      </c>
      <c r="C10" s="19" t="s">
        <v>66</v>
      </c>
      <c r="D10" s="19" t="s">
        <v>97</v>
      </c>
      <c r="E10" s="19" t="s">
        <v>41</v>
      </c>
      <c r="F10" s="19" t="s">
        <v>98</v>
      </c>
    </row>
    <row r="11" customFormat="false" ht="37.5" hidden="false" customHeight="true" outlineLevel="0" collapsed="false">
      <c r="A11" s="19" t="s">
        <v>99</v>
      </c>
      <c r="B11" s="19" t="s">
        <v>100</v>
      </c>
      <c r="C11" s="19" t="s">
        <v>66</v>
      </c>
      <c r="D11" s="19" t="s">
        <v>101</v>
      </c>
      <c r="E11" s="19" t="s">
        <v>41</v>
      </c>
      <c r="F11" s="19" t="s">
        <v>102</v>
      </c>
    </row>
    <row r="12" customFormat="false" ht="37.5" hidden="false" customHeight="true" outlineLevel="0" collapsed="false">
      <c r="A12" s="19" t="s">
        <v>103</v>
      </c>
      <c r="B12" s="19" t="s">
        <v>104</v>
      </c>
      <c r="C12" s="19" t="s">
        <v>66</v>
      </c>
      <c r="D12" s="19" t="s">
        <v>105</v>
      </c>
      <c r="E12" s="19" t="s">
        <v>41</v>
      </c>
      <c r="F12" s="19" t="s">
        <v>106</v>
      </c>
    </row>
    <row r="13" customFormat="false" ht="37.5" hidden="false" customHeight="true" outlineLevel="0" collapsed="false">
      <c r="A13" s="19" t="s">
        <v>107</v>
      </c>
      <c r="B13" s="19" t="s">
        <v>108</v>
      </c>
      <c r="C13" s="19" t="s">
        <v>66</v>
      </c>
      <c r="D13" s="19" t="s">
        <v>109</v>
      </c>
      <c r="E13" s="19" t="s">
        <v>41</v>
      </c>
      <c r="F13" s="19" t="s">
        <v>110</v>
      </c>
    </row>
    <row r="14" customFormat="false" ht="37.5" hidden="false" customHeight="true" outlineLevel="0" collapsed="false">
      <c r="A14" s="19" t="s">
        <v>111</v>
      </c>
      <c r="B14" s="19" t="s">
        <v>112</v>
      </c>
      <c r="C14" s="19" t="s">
        <v>66</v>
      </c>
      <c r="D14" s="19" t="s">
        <v>109</v>
      </c>
      <c r="E14" s="19" t="s">
        <v>41</v>
      </c>
      <c r="F14" s="19" t="s">
        <v>84</v>
      </c>
    </row>
    <row r="15" customFormat="false" ht="37.5" hidden="false" customHeight="true" outlineLevel="0" collapsed="false">
      <c r="A15" s="19" t="s">
        <v>113</v>
      </c>
      <c r="B15" s="19" t="s">
        <v>114</v>
      </c>
      <c r="C15" s="19" t="s">
        <v>66</v>
      </c>
      <c r="D15" s="19" t="s">
        <v>115</v>
      </c>
      <c r="E15" s="19" t="s">
        <v>41</v>
      </c>
      <c r="F15" s="19" t="s">
        <v>116</v>
      </c>
    </row>
    <row r="16" customFormat="false" ht="37.5" hidden="false" customHeight="true" outlineLevel="0" collapsed="false">
      <c r="A16" s="19" t="s">
        <v>117</v>
      </c>
      <c r="B16" s="19" t="s">
        <v>118</v>
      </c>
      <c r="C16" s="19" t="s">
        <v>66</v>
      </c>
      <c r="D16" s="19" t="s">
        <v>119</v>
      </c>
      <c r="E16" s="19" t="s">
        <v>41</v>
      </c>
      <c r="F16" s="19" t="s">
        <v>120</v>
      </c>
    </row>
    <row r="17" customFormat="false" ht="37.5" hidden="false" customHeight="true" outlineLevel="0" collapsed="false">
      <c r="A17" s="19" t="s">
        <v>121</v>
      </c>
      <c r="B17" s="19" t="s">
        <v>122</v>
      </c>
      <c r="C17" s="19" t="s">
        <v>66</v>
      </c>
      <c r="D17" s="19" t="s">
        <v>97</v>
      </c>
      <c r="E17" s="19" t="s">
        <v>41</v>
      </c>
      <c r="F17" s="19" t="s">
        <v>123</v>
      </c>
    </row>
    <row r="18" customFormat="false" ht="37.5" hidden="false" customHeight="true" outlineLevel="0" collapsed="false">
      <c r="A18" s="19" t="s">
        <v>124</v>
      </c>
      <c r="B18" s="19" t="s">
        <v>125</v>
      </c>
      <c r="C18" s="19" t="s">
        <v>66</v>
      </c>
      <c r="D18" s="19" t="s">
        <v>126</v>
      </c>
      <c r="E18" s="19" t="s">
        <v>41</v>
      </c>
      <c r="F18" s="19" t="s">
        <v>127</v>
      </c>
    </row>
    <row r="19" customFormat="false" ht="37.5" hidden="false" customHeight="true" outlineLevel="0" collapsed="false">
      <c r="A19" s="19" t="s">
        <v>128</v>
      </c>
      <c r="B19" s="19" t="s">
        <v>129</v>
      </c>
      <c r="C19" s="19" t="s">
        <v>66</v>
      </c>
      <c r="D19" s="19" t="s">
        <v>105</v>
      </c>
      <c r="E19" s="19" t="s">
        <v>43</v>
      </c>
      <c r="F19" s="19" t="s">
        <v>130</v>
      </c>
    </row>
    <row r="20" customFormat="false" ht="37.5" hidden="false" customHeight="true" outlineLevel="0" collapsed="false">
      <c r="A20" s="19" t="s">
        <v>131</v>
      </c>
      <c r="B20" s="19" t="s">
        <v>132</v>
      </c>
      <c r="C20" s="19" t="s">
        <v>66</v>
      </c>
      <c r="D20" s="19" t="s">
        <v>109</v>
      </c>
      <c r="E20" s="19" t="s">
        <v>41</v>
      </c>
      <c r="F20" s="19" t="s">
        <v>133</v>
      </c>
    </row>
    <row r="21" customFormat="false" ht="37.5" hidden="false" customHeight="true" outlineLevel="0" collapsed="false">
      <c r="A21" s="19" t="s">
        <v>134</v>
      </c>
      <c r="B21" s="19" t="s">
        <v>135</v>
      </c>
      <c r="C21" s="19" t="s">
        <v>66</v>
      </c>
      <c r="D21" s="19" t="s">
        <v>109</v>
      </c>
      <c r="E21" s="19" t="s">
        <v>41</v>
      </c>
      <c r="F21" s="19" t="s">
        <v>136</v>
      </c>
    </row>
    <row r="22" customFormat="false" ht="37.5" hidden="false" customHeight="true" outlineLevel="0" collapsed="false">
      <c r="A22" s="19" t="s">
        <v>137</v>
      </c>
      <c r="B22" s="19" t="s">
        <v>138</v>
      </c>
      <c r="C22" s="19" t="s">
        <v>66</v>
      </c>
      <c r="D22" s="19" t="s">
        <v>109</v>
      </c>
      <c r="E22" s="19" t="s">
        <v>43</v>
      </c>
      <c r="F22" s="19" t="s">
        <v>139</v>
      </c>
    </row>
    <row r="23" customFormat="false" ht="37.5" hidden="false" customHeight="true" outlineLevel="0" collapsed="false">
      <c r="A23" s="19" t="s">
        <v>140</v>
      </c>
      <c r="B23" s="19" t="s">
        <v>141</v>
      </c>
      <c r="C23" s="19" t="s">
        <v>66</v>
      </c>
      <c r="D23" s="19" t="s">
        <v>109</v>
      </c>
      <c r="E23" s="19" t="s">
        <v>43</v>
      </c>
      <c r="F23" s="19" t="s">
        <v>142</v>
      </c>
    </row>
    <row r="24" customFormat="false" ht="37.5" hidden="false" customHeight="true" outlineLevel="0" collapsed="false">
      <c r="A24" s="19" t="s">
        <v>143</v>
      </c>
      <c r="B24" s="19" t="s">
        <v>144</v>
      </c>
      <c r="C24" s="19" t="s">
        <v>66</v>
      </c>
      <c r="D24" s="19" t="s">
        <v>145</v>
      </c>
      <c r="E24" s="19" t="s">
        <v>41</v>
      </c>
      <c r="F24" s="19" t="s">
        <v>146</v>
      </c>
    </row>
    <row r="25" customFormat="false" ht="37.5" hidden="false" customHeight="true" outlineLevel="0" collapsed="false">
      <c r="A25" s="19" t="s">
        <v>147</v>
      </c>
      <c r="B25" s="19" t="s">
        <v>148</v>
      </c>
      <c r="C25" s="19" t="s">
        <v>66</v>
      </c>
      <c r="D25" s="19" t="s">
        <v>149</v>
      </c>
      <c r="E25" s="19" t="s">
        <v>41</v>
      </c>
      <c r="F25" s="19" t="s">
        <v>150</v>
      </c>
    </row>
    <row r="26" customFormat="false" ht="37.5" hidden="false" customHeight="true" outlineLevel="0" collapsed="false">
      <c r="A26" s="19" t="s">
        <v>151</v>
      </c>
      <c r="B26" s="19" t="s">
        <v>152</v>
      </c>
      <c r="C26" s="19" t="s">
        <v>66</v>
      </c>
      <c r="D26" s="19" t="s">
        <v>149</v>
      </c>
      <c r="E26" s="19" t="s">
        <v>41</v>
      </c>
      <c r="F26" s="19" t="s">
        <v>84</v>
      </c>
    </row>
    <row r="27" customFormat="false" ht="37.5" hidden="false" customHeight="true" outlineLevel="0" collapsed="false">
      <c r="A27" s="19" t="s">
        <v>153</v>
      </c>
      <c r="B27" s="19" t="s">
        <v>154</v>
      </c>
      <c r="C27" s="19" t="s">
        <v>66</v>
      </c>
      <c r="D27" s="19" t="s">
        <v>155</v>
      </c>
      <c r="E27" s="19" t="s">
        <v>43</v>
      </c>
      <c r="F27" s="19" t="s">
        <v>156</v>
      </c>
    </row>
    <row r="28" customFormat="false" ht="37.5" hidden="false" customHeight="true" outlineLevel="0" collapsed="false">
      <c r="A28" s="19" t="s">
        <v>157</v>
      </c>
      <c r="B28" s="19" t="s">
        <v>158</v>
      </c>
      <c r="C28" s="19" t="s">
        <v>66</v>
      </c>
      <c r="D28" s="19" t="s">
        <v>159</v>
      </c>
      <c r="E28" s="19" t="s">
        <v>41</v>
      </c>
      <c r="F28" s="19" t="s">
        <v>160</v>
      </c>
    </row>
    <row r="29" customFormat="false" ht="37.5" hidden="false" customHeight="true" outlineLevel="0" collapsed="false">
      <c r="A29" s="19" t="s">
        <v>161</v>
      </c>
      <c r="B29" s="19" t="s">
        <v>162</v>
      </c>
      <c r="C29" s="19" t="s">
        <v>66</v>
      </c>
      <c r="D29" s="19" t="s">
        <v>149</v>
      </c>
      <c r="E29" s="19" t="s">
        <v>41</v>
      </c>
      <c r="F29" s="19" t="s">
        <v>84</v>
      </c>
    </row>
    <row r="30" customFormat="false" ht="37.5" hidden="false" customHeight="true" outlineLevel="0" collapsed="false">
      <c r="A30" s="19" t="s">
        <v>163</v>
      </c>
      <c r="B30" s="19" t="s">
        <v>164</v>
      </c>
      <c r="C30" s="19" t="s">
        <v>66</v>
      </c>
      <c r="D30" s="19" t="s">
        <v>165</v>
      </c>
      <c r="E30" s="19" t="s">
        <v>41</v>
      </c>
      <c r="F30" s="19" t="s">
        <v>166</v>
      </c>
    </row>
    <row r="31" customFormat="false" ht="37.5" hidden="false" customHeight="true" outlineLevel="0" collapsed="false">
      <c r="A31" s="19" t="s">
        <v>167</v>
      </c>
      <c r="B31" s="19" t="s">
        <v>168</v>
      </c>
      <c r="C31" s="19" t="s">
        <v>66</v>
      </c>
      <c r="D31" s="19" t="s">
        <v>165</v>
      </c>
      <c r="E31" s="19" t="s">
        <v>43</v>
      </c>
      <c r="F31" s="19" t="s">
        <v>169</v>
      </c>
    </row>
    <row r="32" customFormat="false" ht="37.5" hidden="false" customHeight="true" outlineLevel="0" collapsed="false">
      <c r="A32" s="19" t="s">
        <v>170</v>
      </c>
      <c r="B32" s="19" t="s">
        <v>171</v>
      </c>
      <c r="C32" s="19" t="s">
        <v>66</v>
      </c>
      <c r="D32" s="19" t="s">
        <v>172</v>
      </c>
      <c r="E32" s="19" t="s">
        <v>41</v>
      </c>
      <c r="F32" s="19" t="s">
        <v>173</v>
      </c>
    </row>
    <row r="33" customFormat="false" ht="37.5" hidden="false" customHeight="true" outlineLevel="0" collapsed="false">
      <c r="A33" s="19" t="s">
        <v>174</v>
      </c>
      <c r="B33" s="19" t="s">
        <v>175</v>
      </c>
      <c r="C33" s="19" t="s">
        <v>66</v>
      </c>
      <c r="D33" s="19" t="s">
        <v>176</v>
      </c>
      <c r="E33" s="19" t="s">
        <v>41</v>
      </c>
      <c r="F33" s="19" t="s">
        <v>84</v>
      </c>
    </row>
    <row r="34" customFormat="false" ht="37.5" hidden="false" customHeight="true" outlineLevel="0" collapsed="false">
      <c r="A34" s="19" t="s">
        <v>177</v>
      </c>
      <c r="B34" s="19" t="s">
        <v>178</v>
      </c>
      <c r="C34" s="19" t="s">
        <v>66</v>
      </c>
      <c r="D34" s="19" t="s">
        <v>109</v>
      </c>
      <c r="E34" s="19" t="s">
        <v>43</v>
      </c>
      <c r="F34" s="19" t="s">
        <v>179</v>
      </c>
    </row>
    <row r="35" customFormat="false" ht="37.5" hidden="false" customHeight="true" outlineLevel="0" collapsed="false">
      <c r="A35" s="19" t="s">
        <v>180</v>
      </c>
      <c r="B35" s="19" t="s">
        <v>181</v>
      </c>
      <c r="C35" s="19" t="s">
        <v>66</v>
      </c>
      <c r="D35" s="19" t="s">
        <v>109</v>
      </c>
      <c r="E35" s="19" t="s">
        <v>41</v>
      </c>
      <c r="F35" s="19" t="s">
        <v>182</v>
      </c>
    </row>
    <row r="36" customFormat="false" ht="37.5" hidden="false" customHeight="true" outlineLevel="0" collapsed="false">
      <c r="A36" s="19" t="s">
        <v>183</v>
      </c>
      <c r="B36" s="19" t="s">
        <v>184</v>
      </c>
      <c r="C36" s="19" t="s">
        <v>66</v>
      </c>
      <c r="D36" s="19" t="s">
        <v>185</v>
      </c>
      <c r="E36" s="19" t="s">
        <v>43</v>
      </c>
      <c r="F36" s="19" t="s">
        <v>186</v>
      </c>
    </row>
    <row r="37" customFormat="false" ht="37.5" hidden="false" customHeight="true" outlineLevel="0" collapsed="false">
      <c r="A37" s="19" t="s">
        <v>187</v>
      </c>
      <c r="B37" s="19" t="s">
        <v>188</v>
      </c>
      <c r="C37" s="19" t="s">
        <v>66</v>
      </c>
      <c r="D37" s="19" t="s">
        <v>189</v>
      </c>
      <c r="E37" s="19" t="s">
        <v>41</v>
      </c>
      <c r="F37" s="19" t="s">
        <v>84</v>
      </c>
    </row>
    <row r="38" customFormat="false" ht="37.5" hidden="false" customHeight="true" outlineLevel="0" collapsed="false">
      <c r="A38" s="19" t="s">
        <v>190</v>
      </c>
      <c r="B38" s="19" t="s">
        <v>191</v>
      </c>
      <c r="C38" s="19" t="s">
        <v>66</v>
      </c>
      <c r="D38" s="19" t="s">
        <v>75</v>
      </c>
      <c r="E38" s="19" t="s">
        <v>41</v>
      </c>
      <c r="F38" s="19" t="s">
        <v>84</v>
      </c>
    </row>
    <row r="39" customFormat="false" ht="37.5" hidden="false" customHeight="true" outlineLevel="0" collapsed="false">
      <c r="A39" s="19" t="s">
        <v>192</v>
      </c>
      <c r="B39" s="19" t="s">
        <v>193</v>
      </c>
      <c r="C39" s="19" t="s">
        <v>194</v>
      </c>
      <c r="D39" s="19" t="s">
        <v>176</v>
      </c>
      <c r="E39" s="19" t="s">
        <v>41</v>
      </c>
      <c r="F39" s="19" t="s">
        <v>195</v>
      </c>
    </row>
    <row r="40" customFormat="false" ht="37.5" hidden="false" customHeight="true" outlineLevel="0" collapsed="false">
      <c r="A40" s="19" t="s">
        <v>196</v>
      </c>
      <c r="B40" s="19" t="s">
        <v>197</v>
      </c>
      <c r="C40" s="19" t="s">
        <v>194</v>
      </c>
      <c r="D40" s="19" t="s">
        <v>176</v>
      </c>
      <c r="E40" s="19" t="s">
        <v>41</v>
      </c>
      <c r="F40" s="19" t="s">
        <v>84</v>
      </c>
    </row>
    <row r="41" customFormat="false" ht="37.5" hidden="false" customHeight="true" outlineLevel="0" collapsed="false">
      <c r="A41" s="19" t="s">
        <v>198</v>
      </c>
      <c r="B41" s="19" t="s">
        <v>199</v>
      </c>
      <c r="C41" s="19" t="s">
        <v>194</v>
      </c>
      <c r="D41" s="19" t="s">
        <v>200</v>
      </c>
      <c r="E41" s="19" t="s">
        <v>43</v>
      </c>
      <c r="F41" s="19" t="s">
        <v>201</v>
      </c>
    </row>
    <row r="42" customFormat="false" ht="37.5" hidden="false" customHeight="true" outlineLevel="0" collapsed="false">
      <c r="A42" s="19" t="s">
        <v>202</v>
      </c>
      <c r="B42" s="19" t="s">
        <v>203</v>
      </c>
      <c r="C42" s="19" t="s">
        <v>194</v>
      </c>
      <c r="D42" s="19" t="s">
        <v>204</v>
      </c>
      <c r="E42" s="19" t="s">
        <v>41</v>
      </c>
      <c r="F42" s="19" t="s">
        <v>84</v>
      </c>
    </row>
    <row r="43" customFormat="false" ht="37.5" hidden="false" customHeight="true" outlineLevel="0" collapsed="false">
      <c r="A43" s="19" t="s">
        <v>205</v>
      </c>
      <c r="B43" s="19" t="s">
        <v>206</v>
      </c>
      <c r="C43" s="19" t="s">
        <v>194</v>
      </c>
      <c r="D43" s="19" t="s">
        <v>105</v>
      </c>
      <c r="E43" s="19" t="s">
        <v>41</v>
      </c>
      <c r="F43" s="19" t="s">
        <v>207</v>
      </c>
    </row>
    <row r="44" customFormat="false" ht="37.5" hidden="false" customHeight="true" outlineLevel="0" collapsed="false">
      <c r="A44" s="19" t="s">
        <v>208</v>
      </c>
      <c r="B44" s="19" t="s">
        <v>209</v>
      </c>
      <c r="C44" s="19" t="s">
        <v>194</v>
      </c>
      <c r="D44" s="19" t="s">
        <v>176</v>
      </c>
      <c r="E44" s="19" t="s">
        <v>41</v>
      </c>
      <c r="F44" s="19" t="s">
        <v>210</v>
      </c>
    </row>
    <row r="45" customFormat="false" ht="37.5" hidden="false" customHeight="true" outlineLevel="0" collapsed="false">
      <c r="A45" s="19" t="s">
        <v>211</v>
      </c>
      <c r="B45" s="19" t="s">
        <v>212</v>
      </c>
      <c r="C45" s="19" t="s">
        <v>194</v>
      </c>
      <c r="D45" s="19" t="s">
        <v>213</v>
      </c>
      <c r="E45" s="19" t="s">
        <v>41</v>
      </c>
      <c r="F45" s="19" t="s">
        <v>214</v>
      </c>
    </row>
    <row r="46" customFormat="false" ht="37.5" hidden="false" customHeight="true" outlineLevel="0" collapsed="false">
      <c r="A46" s="19" t="s">
        <v>215</v>
      </c>
      <c r="B46" s="19" t="s">
        <v>216</v>
      </c>
      <c r="C46" s="19" t="s">
        <v>194</v>
      </c>
      <c r="D46" s="19" t="s">
        <v>217</v>
      </c>
      <c r="E46" s="19" t="s">
        <v>41</v>
      </c>
      <c r="F46" s="19" t="s">
        <v>84</v>
      </c>
    </row>
    <row r="47" customFormat="false" ht="37.5" hidden="false" customHeight="true" outlineLevel="0" collapsed="false">
      <c r="A47" s="19" t="s">
        <v>218</v>
      </c>
      <c r="B47" s="19" t="s">
        <v>219</v>
      </c>
      <c r="C47" s="19" t="s">
        <v>220</v>
      </c>
      <c r="D47" s="19" t="s">
        <v>221</v>
      </c>
      <c r="E47" s="19" t="s">
        <v>41</v>
      </c>
      <c r="F47" s="19" t="s">
        <v>222</v>
      </c>
    </row>
    <row r="48" customFormat="false" ht="37.5" hidden="false" customHeight="true" outlineLevel="0" collapsed="false">
      <c r="A48" s="19" t="s">
        <v>223</v>
      </c>
      <c r="B48" s="19" t="s">
        <v>224</v>
      </c>
      <c r="C48" s="19" t="s">
        <v>220</v>
      </c>
      <c r="D48" s="19" t="s">
        <v>221</v>
      </c>
      <c r="E48" s="19" t="s">
        <v>41</v>
      </c>
      <c r="F48" s="19" t="s">
        <v>225</v>
      </c>
    </row>
    <row r="49" customFormat="false" ht="37.5" hidden="false" customHeight="true" outlineLevel="0" collapsed="false">
      <c r="A49" s="19" t="s">
        <v>226</v>
      </c>
      <c r="B49" s="19" t="s">
        <v>227</v>
      </c>
      <c r="C49" s="19" t="s">
        <v>220</v>
      </c>
      <c r="D49" s="19" t="s">
        <v>221</v>
      </c>
      <c r="E49" s="19" t="s">
        <v>41</v>
      </c>
      <c r="F49" s="19" t="s">
        <v>84</v>
      </c>
    </row>
    <row r="50" customFormat="false" ht="37.5" hidden="false" customHeight="true" outlineLevel="0" collapsed="false">
      <c r="A50" s="19" t="s">
        <v>228</v>
      </c>
      <c r="B50" s="19" t="s">
        <v>229</v>
      </c>
      <c r="C50" s="19" t="s">
        <v>220</v>
      </c>
      <c r="D50" s="19" t="s">
        <v>221</v>
      </c>
      <c r="E50" s="19" t="s">
        <v>41</v>
      </c>
      <c r="F50" s="19" t="s">
        <v>230</v>
      </c>
    </row>
    <row r="51" customFormat="false" ht="37.5" hidden="false" customHeight="true" outlineLevel="0" collapsed="false">
      <c r="A51" s="19" t="s">
        <v>231</v>
      </c>
      <c r="B51" s="19" t="s">
        <v>232</v>
      </c>
      <c r="C51" s="19" t="s">
        <v>220</v>
      </c>
      <c r="D51" s="19" t="s">
        <v>221</v>
      </c>
      <c r="E51" s="19" t="s">
        <v>41</v>
      </c>
      <c r="F51" s="19" t="s">
        <v>233</v>
      </c>
    </row>
    <row r="52" customFormat="false" ht="37.5" hidden="false" customHeight="true" outlineLevel="0" collapsed="false">
      <c r="A52" s="19" t="s">
        <v>234</v>
      </c>
      <c r="B52" s="19" t="s">
        <v>235</v>
      </c>
      <c r="C52" s="19" t="s">
        <v>220</v>
      </c>
      <c r="D52" s="19" t="s">
        <v>221</v>
      </c>
      <c r="E52" s="19" t="s">
        <v>41</v>
      </c>
      <c r="F52" s="19" t="s">
        <v>84</v>
      </c>
    </row>
    <row r="53" customFormat="false" ht="37.5" hidden="false" customHeight="true" outlineLevel="0" collapsed="false">
      <c r="A53" s="19" t="s">
        <v>236</v>
      </c>
      <c r="B53" s="19" t="s">
        <v>237</v>
      </c>
      <c r="C53" s="19" t="s">
        <v>220</v>
      </c>
      <c r="D53" s="19" t="s">
        <v>221</v>
      </c>
      <c r="E53" s="19" t="s">
        <v>41</v>
      </c>
      <c r="F53" s="19" t="s">
        <v>238</v>
      </c>
    </row>
    <row r="54" customFormat="false" ht="37.5" hidden="false" customHeight="true" outlineLevel="0" collapsed="false">
      <c r="A54" s="19" t="s">
        <v>239</v>
      </c>
      <c r="B54" s="19" t="s">
        <v>240</v>
      </c>
      <c r="C54" s="19" t="s">
        <v>220</v>
      </c>
      <c r="D54" s="19" t="s">
        <v>221</v>
      </c>
      <c r="E54" s="19" t="s">
        <v>41</v>
      </c>
      <c r="F54" s="19" t="s">
        <v>84</v>
      </c>
    </row>
    <row r="55" customFormat="false" ht="37.5" hidden="false" customHeight="true" outlineLevel="0" collapsed="false">
      <c r="A55" s="19" t="s">
        <v>241</v>
      </c>
      <c r="B55" s="19" t="s">
        <v>242</v>
      </c>
      <c r="C55" s="19" t="s">
        <v>220</v>
      </c>
      <c r="D55" s="19" t="s">
        <v>221</v>
      </c>
      <c r="E55" s="19" t="s">
        <v>41</v>
      </c>
      <c r="F55" s="19" t="s">
        <v>243</v>
      </c>
    </row>
    <row r="56" customFormat="false" ht="37.5" hidden="false" customHeight="true" outlineLevel="0" collapsed="false">
      <c r="A56" s="19" t="s">
        <v>244</v>
      </c>
      <c r="B56" s="19" t="s">
        <v>245</v>
      </c>
      <c r="C56" s="19" t="s">
        <v>220</v>
      </c>
      <c r="D56" s="19" t="s">
        <v>246</v>
      </c>
      <c r="E56" s="19" t="s">
        <v>43</v>
      </c>
      <c r="F56" s="19" t="s">
        <v>247</v>
      </c>
    </row>
    <row r="57" customFormat="false" ht="37.5" hidden="false" customHeight="true" outlineLevel="0" collapsed="false">
      <c r="A57" s="19" t="s">
        <v>248</v>
      </c>
      <c r="B57" s="19" t="s">
        <v>249</v>
      </c>
      <c r="C57" s="19" t="s">
        <v>220</v>
      </c>
      <c r="D57" s="19" t="s">
        <v>221</v>
      </c>
      <c r="E57" s="19" t="s">
        <v>47</v>
      </c>
      <c r="F57" s="19" t="s">
        <v>250</v>
      </c>
    </row>
    <row r="58" customFormat="false" ht="37.5" hidden="false" customHeight="true" outlineLevel="0" collapsed="false">
      <c r="A58" s="19" t="s">
        <v>251</v>
      </c>
      <c r="B58" s="19" t="s">
        <v>252</v>
      </c>
      <c r="C58" s="19" t="s">
        <v>220</v>
      </c>
      <c r="D58" s="19" t="s">
        <v>221</v>
      </c>
      <c r="E58" s="19" t="s">
        <v>41</v>
      </c>
      <c r="F58" s="19" t="s">
        <v>253</v>
      </c>
    </row>
    <row r="59" customFormat="false" ht="37.5" hidden="false" customHeight="true" outlineLevel="0" collapsed="false">
      <c r="A59" s="19" t="s">
        <v>254</v>
      </c>
      <c r="B59" s="19" t="s">
        <v>255</v>
      </c>
      <c r="C59" s="19" t="s">
        <v>220</v>
      </c>
      <c r="D59" s="19" t="s">
        <v>221</v>
      </c>
      <c r="E59" s="19" t="s">
        <v>41</v>
      </c>
      <c r="F59" s="19" t="s">
        <v>84</v>
      </c>
    </row>
    <row r="60" customFormat="false" ht="37.5" hidden="false" customHeight="true" outlineLevel="0" collapsed="false">
      <c r="A60" s="19" t="s">
        <v>256</v>
      </c>
      <c r="B60" s="19" t="s">
        <v>257</v>
      </c>
      <c r="C60" s="19" t="s">
        <v>220</v>
      </c>
      <c r="D60" s="19" t="s">
        <v>246</v>
      </c>
      <c r="E60" s="19" t="s">
        <v>43</v>
      </c>
      <c r="F60" s="19" t="s">
        <v>258</v>
      </c>
    </row>
    <row r="61" customFormat="false" ht="37.5" hidden="false" customHeight="true" outlineLevel="0" collapsed="false">
      <c r="A61" s="19" t="s">
        <v>259</v>
      </c>
      <c r="B61" s="19" t="s">
        <v>260</v>
      </c>
      <c r="C61" s="19" t="s">
        <v>261</v>
      </c>
      <c r="D61" s="19" t="s">
        <v>97</v>
      </c>
      <c r="E61" s="19" t="s">
        <v>41</v>
      </c>
      <c r="F61" s="19" t="s">
        <v>262</v>
      </c>
    </row>
    <row r="62" customFormat="false" ht="37.5" hidden="false" customHeight="true" outlineLevel="0" collapsed="false">
      <c r="A62" s="19" t="s">
        <v>263</v>
      </c>
      <c r="B62" s="19" t="s">
        <v>264</v>
      </c>
      <c r="C62" s="19" t="s">
        <v>261</v>
      </c>
      <c r="D62" s="19" t="s">
        <v>97</v>
      </c>
      <c r="E62" s="19" t="s">
        <v>43</v>
      </c>
      <c r="F62" s="19" t="s">
        <v>265</v>
      </c>
    </row>
    <row r="63" customFormat="false" ht="37.5" hidden="false" customHeight="true" outlineLevel="0" collapsed="false">
      <c r="A63" s="19" t="s">
        <v>266</v>
      </c>
      <c r="B63" s="19" t="s">
        <v>267</v>
      </c>
      <c r="C63" s="19" t="s">
        <v>261</v>
      </c>
      <c r="D63" s="19" t="s">
        <v>97</v>
      </c>
      <c r="E63" s="19" t="s">
        <v>41</v>
      </c>
      <c r="F63" s="19" t="s">
        <v>84</v>
      </c>
    </row>
    <row r="64" customFormat="false" ht="37.5" hidden="false" customHeight="true" outlineLevel="0" collapsed="false">
      <c r="A64" s="19" t="s">
        <v>268</v>
      </c>
      <c r="B64" s="19" t="s">
        <v>269</v>
      </c>
      <c r="C64" s="19" t="s">
        <v>261</v>
      </c>
      <c r="D64" s="19" t="s">
        <v>270</v>
      </c>
      <c r="E64" s="19" t="s">
        <v>41</v>
      </c>
      <c r="F64" s="19" t="s">
        <v>271</v>
      </c>
    </row>
    <row r="65" customFormat="false" ht="37.5" hidden="false" customHeight="true" outlineLevel="0" collapsed="false">
      <c r="A65" s="19" t="s">
        <v>272</v>
      </c>
      <c r="B65" s="19" t="s">
        <v>273</v>
      </c>
      <c r="C65" s="19" t="s">
        <v>261</v>
      </c>
      <c r="D65" s="19" t="s">
        <v>126</v>
      </c>
      <c r="E65" s="19" t="s">
        <v>41</v>
      </c>
      <c r="F65" s="19" t="s">
        <v>274</v>
      </c>
    </row>
    <row r="66" customFormat="false" ht="37.5" hidden="false" customHeight="true" outlineLevel="0" collapsed="false">
      <c r="A66" s="19" t="s">
        <v>275</v>
      </c>
      <c r="B66" s="19" t="s">
        <v>276</v>
      </c>
      <c r="C66" s="19" t="s">
        <v>261</v>
      </c>
      <c r="D66" s="19" t="s">
        <v>277</v>
      </c>
      <c r="E66" s="19" t="s">
        <v>41</v>
      </c>
      <c r="F66" s="19" t="s">
        <v>278</v>
      </c>
    </row>
    <row r="67" customFormat="false" ht="37.5" hidden="false" customHeight="true" outlineLevel="0" collapsed="false">
      <c r="A67" s="19" t="s">
        <v>279</v>
      </c>
      <c r="B67" s="19" t="s">
        <v>280</v>
      </c>
      <c r="C67" s="19" t="s">
        <v>261</v>
      </c>
      <c r="D67" s="19" t="s">
        <v>277</v>
      </c>
      <c r="E67" s="19" t="s">
        <v>41</v>
      </c>
      <c r="F67" s="19" t="s">
        <v>281</v>
      </c>
    </row>
    <row r="68" customFormat="false" ht="37.5" hidden="false" customHeight="true" outlineLevel="0" collapsed="false">
      <c r="A68" s="19" t="s">
        <v>282</v>
      </c>
      <c r="B68" s="19" t="s">
        <v>283</v>
      </c>
      <c r="C68" s="19" t="s">
        <v>261</v>
      </c>
      <c r="D68" s="19" t="s">
        <v>277</v>
      </c>
      <c r="E68" s="19" t="s">
        <v>43</v>
      </c>
      <c r="F68" s="19" t="s">
        <v>284</v>
      </c>
    </row>
    <row r="69" customFormat="false" ht="37.5" hidden="false" customHeight="true" outlineLevel="0" collapsed="false">
      <c r="A69" s="19" t="s">
        <v>285</v>
      </c>
      <c r="B69" s="19" t="s">
        <v>286</v>
      </c>
      <c r="C69" s="19" t="s">
        <v>261</v>
      </c>
      <c r="D69" s="19" t="s">
        <v>287</v>
      </c>
      <c r="E69" s="19" t="s">
        <v>41</v>
      </c>
      <c r="F69" s="19" t="s">
        <v>288</v>
      </c>
    </row>
    <row r="70" customFormat="false" ht="37.5" hidden="false" customHeight="true" outlineLevel="0" collapsed="false">
      <c r="A70" s="19" t="s">
        <v>289</v>
      </c>
      <c r="B70" s="19" t="s">
        <v>290</v>
      </c>
      <c r="C70" s="19" t="s">
        <v>261</v>
      </c>
      <c r="D70" s="19" t="s">
        <v>109</v>
      </c>
      <c r="E70" s="19" t="s">
        <v>43</v>
      </c>
      <c r="F70" s="19" t="s">
        <v>291</v>
      </c>
    </row>
    <row r="71" customFormat="false" ht="37.5" hidden="false" customHeight="true" outlineLevel="0" collapsed="false">
      <c r="A71" s="19" t="s">
        <v>292</v>
      </c>
      <c r="B71" s="19" t="s">
        <v>293</v>
      </c>
      <c r="C71" s="19" t="s">
        <v>261</v>
      </c>
      <c r="D71" s="19" t="s">
        <v>115</v>
      </c>
      <c r="E71" s="19" t="s">
        <v>41</v>
      </c>
      <c r="F71" s="19" t="s">
        <v>294</v>
      </c>
    </row>
    <row r="72" customFormat="false" ht="37.5" hidden="false" customHeight="true" outlineLevel="0" collapsed="false">
      <c r="A72" s="19" t="s">
        <v>295</v>
      </c>
      <c r="B72" s="19" t="s">
        <v>296</v>
      </c>
      <c r="C72" s="19" t="s">
        <v>261</v>
      </c>
      <c r="D72" s="19" t="s">
        <v>115</v>
      </c>
      <c r="E72" s="19" t="s">
        <v>41</v>
      </c>
      <c r="F72" s="19" t="s">
        <v>297</v>
      </c>
    </row>
    <row r="73" customFormat="false" ht="37.5" hidden="false" customHeight="true" outlineLevel="0" collapsed="false">
      <c r="A73" s="19" t="s">
        <v>298</v>
      </c>
      <c r="B73" s="19" t="s">
        <v>299</v>
      </c>
      <c r="C73" s="19" t="s">
        <v>261</v>
      </c>
      <c r="D73" s="19" t="s">
        <v>159</v>
      </c>
      <c r="E73" s="19" t="s">
        <v>43</v>
      </c>
      <c r="F73" s="19" t="s">
        <v>300</v>
      </c>
    </row>
    <row r="74" customFormat="false" ht="37.5" hidden="false" customHeight="true" outlineLevel="0" collapsed="false">
      <c r="A74" s="19" t="s">
        <v>301</v>
      </c>
      <c r="B74" s="19" t="s">
        <v>302</v>
      </c>
      <c r="C74" s="19" t="s">
        <v>261</v>
      </c>
      <c r="D74" s="19" t="s">
        <v>165</v>
      </c>
      <c r="E74" s="19" t="s">
        <v>41</v>
      </c>
      <c r="F74" s="19" t="s">
        <v>303</v>
      </c>
    </row>
    <row r="75" customFormat="false" ht="37.5" hidden="false" customHeight="true" outlineLevel="0" collapsed="false">
      <c r="A75" s="19" t="s">
        <v>304</v>
      </c>
      <c r="B75" s="19" t="s">
        <v>305</v>
      </c>
      <c r="C75" s="19" t="s">
        <v>261</v>
      </c>
      <c r="D75" s="19" t="s">
        <v>306</v>
      </c>
      <c r="E75" s="19" t="s">
        <v>41</v>
      </c>
      <c r="F75" s="19" t="s">
        <v>307</v>
      </c>
    </row>
    <row r="76" customFormat="false" ht="37.5" hidden="false" customHeight="true" outlineLevel="0" collapsed="false">
      <c r="A76" s="19" t="s">
        <v>308</v>
      </c>
      <c r="B76" s="19" t="s">
        <v>309</v>
      </c>
      <c r="C76" s="19" t="s">
        <v>261</v>
      </c>
      <c r="D76" s="19" t="s">
        <v>310</v>
      </c>
      <c r="E76" s="19" t="s">
        <v>41</v>
      </c>
      <c r="F76" s="19" t="s">
        <v>311</v>
      </c>
    </row>
    <row r="77" customFormat="false" ht="37.5" hidden="false" customHeight="true" outlineLevel="0" collapsed="false">
      <c r="A77" s="19" t="s">
        <v>312</v>
      </c>
      <c r="B77" s="19" t="s">
        <v>313</v>
      </c>
      <c r="C77" s="19" t="s">
        <v>261</v>
      </c>
      <c r="D77" s="19" t="s">
        <v>306</v>
      </c>
      <c r="E77" s="19" t="s">
        <v>41</v>
      </c>
      <c r="F77" s="19" t="s">
        <v>314</v>
      </c>
    </row>
    <row r="78" customFormat="false" ht="37.5" hidden="false" customHeight="true" outlineLevel="0" collapsed="false">
      <c r="A78" s="19" t="s">
        <v>315</v>
      </c>
      <c r="B78" s="19" t="s">
        <v>316</v>
      </c>
      <c r="C78" s="19" t="s">
        <v>261</v>
      </c>
      <c r="D78" s="19" t="s">
        <v>97</v>
      </c>
      <c r="E78" s="19" t="s">
        <v>41</v>
      </c>
      <c r="F78" s="19" t="s">
        <v>84</v>
      </c>
    </row>
    <row r="79" customFormat="false" ht="37.5" hidden="false" customHeight="true" outlineLevel="0" collapsed="false">
      <c r="A79" s="19" t="s">
        <v>317</v>
      </c>
      <c r="B79" s="19" t="s">
        <v>318</v>
      </c>
      <c r="C79" s="19" t="s">
        <v>261</v>
      </c>
      <c r="D79" s="19" t="s">
        <v>287</v>
      </c>
      <c r="E79" s="19" t="s">
        <v>41</v>
      </c>
      <c r="F79" s="19" t="s">
        <v>84</v>
      </c>
    </row>
    <row r="80" customFormat="false" ht="37.5" hidden="false" customHeight="true" outlineLevel="0" collapsed="false">
      <c r="A80" s="19" t="s">
        <v>319</v>
      </c>
      <c r="B80" s="19" t="s">
        <v>320</v>
      </c>
      <c r="C80" s="19" t="s">
        <v>261</v>
      </c>
      <c r="D80" s="19" t="s">
        <v>321</v>
      </c>
      <c r="E80" s="19" t="s">
        <v>41</v>
      </c>
      <c r="F80" s="19" t="s">
        <v>322</v>
      </c>
    </row>
    <row r="81" customFormat="false" ht="37.5" hidden="false" customHeight="true" outlineLevel="0" collapsed="false">
      <c r="A81" s="19" t="s">
        <v>323</v>
      </c>
      <c r="B81" s="19" t="s">
        <v>324</v>
      </c>
      <c r="C81" s="19" t="s">
        <v>261</v>
      </c>
      <c r="D81" s="19" t="s">
        <v>321</v>
      </c>
      <c r="E81" s="19" t="s">
        <v>41</v>
      </c>
      <c r="F81" s="19" t="s">
        <v>84</v>
      </c>
    </row>
    <row r="82" customFormat="false" ht="37.5" hidden="false" customHeight="true" outlineLevel="0" collapsed="false">
      <c r="A82" s="19" t="s">
        <v>325</v>
      </c>
      <c r="B82" s="19" t="s">
        <v>326</v>
      </c>
      <c r="C82" s="19" t="s">
        <v>261</v>
      </c>
      <c r="D82" s="19" t="s">
        <v>321</v>
      </c>
      <c r="E82" s="19" t="s">
        <v>41</v>
      </c>
      <c r="F82" s="19" t="s">
        <v>327</v>
      </c>
    </row>
    <row r="83" customFormat="false" ht="37.5" hidden="false" customHeight="true" outlineLevel="0" collapsed="false">
      <c r="A83" s="19" t="s">
        <v>328</v>
      </c>
      <c r="B83" s="19" t="s">
        <v>329</v>
      </c>
      <c r="C83" s="19" t="s">
        <v>261</v>
      </c>
      <c r="D83" s="19" t="s">
        <v>321</v>
      </c>
      <c r="E83" s="19" t="s">
        <v>41</v>
      </c>
      <c r="F83" s="19" t="s">
        <v>330</v>
      </c>
    </row>
    <row r="84" customFormat="false" ht="37.5" hidden="false" customHeight="true" outlineLevel="0" collapsed="false">
      <c r="A84" s="19" t="s">
        <v>331</v>
      </c>
      <c r="B84" s="19" t="s">
        <v>332</v>
      </c>
      <c r="C84" s="19" t="s">
        <v>261</v>
      </c>
      <c r="D84" s="19" t="s">
        <v>333</v>
      </c>
      <c r="E84" s="19" t="s">
        <v>41</v>
      </c>
      <c r="F84" s="19" t="s">
        <v>334</v>
      </c>
    </row>
    <row r="85" customFormat="false" ht="37.5" hidden="false" customHeight="true" outlineLevel="0" collapsed="false">
      <c r="A85" s="19" t="s">
        <v>335</v>
      </c>
      <c r="B85" s="19" t="s">
        <v>336</v>
      </c>
      <c r="C85" s="19" t="s">
        <v>261</v>
      </c>
      <c r="D85" s="19" t="s">
        <v>287</v>
      </c>
      <c r="E85" s="19" t="s">
        <v>41</v>
      </c>
      <c r="F85" s="19" t="s">
        <v>337</v>
      </c>
    </row>
    <row r="86" customFormat="false" ht="37.5" hidden="false" customHeight="true" outlineLevel="0" collapsed="false">
      <c r="A86" s="19" t="s">
        <v>338</v>
      </c>
      <c r="B86" s="19" t="s">
        <v>339</v>
      </c>
      <c r="C86" s="19" t="s">
        <v>261</v>
      </c>
      <c r="D86" s="19" t="s">
        <v>287</v>
      </c>
      <c r="E86" s="19" t="s">
        <v>41</v>
      </c>
      <c r="F86" s="19" t="s">
        <v>340</v>
      </c>
    </row>
    <row r="87" customFormat="false" ht="37.5" hidden="false" customHeight="true" outlineLevel="0" collapsed="false">
      <c r="A87" s="19" t="s">
        <v>341</v>
      </c>
      <c r="B87" s="19" t="s">
        <v>342</v>
      </c>
      <c r="C87" s="19" t="s">
        <v>261</v>
      </c>
      <c r="D87" s="19" t="s">
        <v>287</v>
      </c>
      <c r="E87" s="19" t="s">
        <v>41</v>
      </c>
      <c r="F87" s="19" t="s">
        <v>343</v>
      </c>
    </row>
    <row r="88" customFormat="false" ht="37.5" hidden="false" customHeight="true" outlineLevel="0" collapsed="false">
      <c r="A88" s="19" t="s">
        <v>344</v>
      </c>
      <c r="B88" s="19" t="s">
        <v>345</v>
      </c>
      <c r="C88" s="19" t="s">
        <v>261</v>
      </c>
      <c r="D88" s="19" t="s">
        <v>287</v>
      </c>
      <c r="E88" s="19" t="s">
        <v>41</v>
      </c>
      <c r="F88" s="19" t="s">
        <v>346</v>
      </c>
    </row>
    <row r="89" customFormat="false" ht="37.5" hidden="false" customHeight="true" outlineLevel="0" collapsed="false">
      <c r="A89" s="19" t="s">
        <v>347</v>
      </c>
      <c r="B89" s="19" t="s">
        <v>348</v>
      </c>
      <c r="C89" s="19" t="s">
        <v>261</v>
      </c>
      <c r="D89" s="19" t="s">
        <v>287</v>
      </c>
      <c r="E89" s="19" t="s">
        <v>41</v>
      </c>
      <c r="F89" s="19" t="s">
        <v>349</v>
      </c>
    </row>
    <row r="90" customFormat="false" ht="37.5" hidden="false" customHeight="true" outlineLevel="0" collapsed="false">
      <c r="A90" s="19" t="s">
        <v>350</v>
      </c>
      <c r="B90" s="19" t="s">
        <v>351</v>
      </c>
      <c r="C90" s="19" t="s">
        <v>261</v>
      </c>
      <c r="D90" s="19" t="s">
        <v>352</v>
      </c>
      <c r="E90" s="19" t="s">
        <v>47</v>
      </c>
      <c r="F90" s="19" t="s">
        <v>353</v>
      </c>
    </row>
    <row r="91" customFormat="false" ht="37.5" hidden="false" customHeight="true" outlineLevel="0" collapsed="false">
      <c r="A91" s="19" t="s">
        <v>354</v>
      </c>
      <c r="B91" s="19" t="s">
        <v>355</v>
      </c>
      <c r="C91" s="19" t="s">
        <v>261</v>
      </c>
      <c r="D91" s="19" t="s">
        <v>287</v>
      </c>
      <c r="E91" s="19" t="s">
        <v>41</v>
      </c>
      <c r="F91" s="19" t="s">
        <v>356</v>
      </c>
    </row>
    <row r="92" customFormat="false" ht="37.5" hidden="false" customHeight="true" outlineLevel="0" collapsed="false">
      <c r="A92" s="19" t="s">
        <v>357</v>
      </c>
      <c r="B92" s="19" t="s">
        <v>358</v>
      </c>
      <c r="C92" s="19" t="s">
        <v>261</v>
      </c>
      <c r="D92" s="19" t="s">
        <v>287</v>
      </c>
      <c r="E92" s="19" t="s">
        <v>43</v>
      </c>
      <c r="F92" s="19" t="s">
        <v>359</v>
      </c>
    </row>
    <row r="93" customFormat="false" ht="37.5" hidden="false" customHeight="true" outlineLevel="0" collapsed="false">
      <c r="A93" s="19" t="s">
        <v>360</v>
      </c>
      <c r="B93" s="19" t="s">
        <v>361</v>
      </c>
      <c r="C93" s="19" t="s">
        <v>261</v>
      </c>
      <c r="D93" s="19" t="s">
        <v>362</v>
      </c>
      <c r="E93" s="19" t="s">
        <v>41</v>
      </c>
      <c r="F93" s="19" t="s">
        <v>84</v>
      </c>
    </row>
    <row r="94" customFormat="false" ht="37.5" hidden="false" customHeight="true" outlineLevel="0" collapsed="false">
      <c r="A94" s="19" t="s">
        <v>363</v>
      </c>
      <c r="B94" s="19" t="s">
        <v>364</v>
      </c>
      <c r="C94" s="19" t="s">
        <v>261</v>
      </c>
      <c r="D94" s="19" t="s">
        <v>185</v>
      </c>
      <c r="E94" s="19" t="s">
        <v>41</v>
      </c>
      <c r="F94" s="19" t="s">
        <v>84</v>
      </c>
    </row>
  </sheetData>
  <autoFilter ref="A1:F94"/>
  <conditionalFormatting sqref="E2:E94">
    <cfRule type="cellIs" priority="2" operator="equal" aboveAverage="0" equalAverage="0" bottom="0" percent="0" rank="0" text="" dxfId="6">
      <formula>"Full"</formula>
    </cfRule>
    <cfRule type="cellIs" priority="3" operator="equal" aboveAverage="0" equalAverage="0" bottom="0" percent="0" rank="0" text="" dxfId="7">
      <formula>"Partial"</formula>
    </cfRule>
    <cfRule type="cellIs" priority="4" operator="equal" aboveAverage="0" equalAverage="0" bottom="0" percent="0" rank="0" text="" dxfId="8">
      <formula>"Gap"</formula>
    </cfRule>
    <cfRule type="cellIs" priority="5" operator="equal" aboveAverage="0" equalAverage="0" bottom="0" percent="0" rank="0" text="" dxfId="9">
      <formula>"N/A"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7" min="3" style="1" width="14"/>
    <col collapsed="false" customWidth="true" hidden="false" outlineLevel="0" max="8" min="8" style="1" width="16"/>
  </cols>
  <sheetData>
    <row r="2" customFormat="false" ht="22.05" hidden="false" customHeight="false" outlineLevel="0" collapsed="false">
      <c r="B2" s="2" t="s">
        <v>365</v>
      </c>
    </row>
    <row r="3" customFormat="false" ht="15" hidden="false" customHeight="false" outlineLevel="0" collapsed="false">
      <c r="B3" s="20" t="s">
        <v>366</v>
      </c>
    </row>
    <row r="5" customFormat="false" ht="16.15" hidden="false" customHeight="false" outlineLevel="0" collapsed="false">
      <c r="B5" s="21" t="s">
        <v>367</v>
      </c>
    </row>
    <row r="6" customFormat="false" ht="15" hidden="false" customHeight="false" outlineLevel="0" collapsed="false">
      <c r="B6" s="17" t="s">
        <v>368</v>
      </c>
      <c r="C6" s="22" t="n">
        <f aca="false">COUNTA(Crosswalk!A2:A94)</f>
        <v>93</v>
      </c>
    </row>
    <row r="7" customFormat="false" ht="15" hidden="false" customHeight="false" outlineLevel="0" collapsed="false">
      <c r="B7" s="17" t="s">
        <v>369</v>
      </c>
      <c r="C7" s="22" t="n">
        <f aca="false">COUNTIF(Crosswalk!E2:E94,"Full")</f>
        <v>75</v>
      </c>
    </row>
    <row r="8" customFormat="false" ht="15" hidden="false" customHeight="false" outlineLevel="0" collapsed="false">
      <c r="B8" s="17" t="s">
        <v>370</v>
      </c>
      <c r="C8" s="22" t="n">
        <f aca="false">COUNTIF(Crosswalk!E2:E94,"Partial")</f>
        <v>16</v>
      </c>
    </row>
    <row r="9" customFormat="false" ht="15" hidden="false" customHeight="false" outlineLevel="0" collapsed="false">
      <c r="B9" s="17" t="s">
        <v>371</v>
      </c>
      <c r="C9" s="22" t="n">
        <f aca="false">COUNTIF(Crosswalk!E2:E94,"Gap")</f>
        <v>0</v>
      </c>
    </row>
    <row r="10" customFormat="false" ht="15" hidden="false" customHeight="false" outlineLevel="0" collapsed="false">
      <c r="B10" s="17" t="s">
        <v>372</v>
      </c>
      <c r="C10" s="22" t="n">
        <f aca="false">COUNTIF(Crosswalk!E2:E94,"N/A")</f>
        <v>2</v>
      </c>
    </row>
    <row r="11" customFormat="false" ht="15" hidden="false" customHeight="false" outlineLevel="0" collapsed="false">
      <c r="B11" s="17" t="s">
        <v>373</v>
      </c>
      <c r="C11" s="23" t="n">
        <f aca="false">IFERROR(C7/(C6-C10),0)</f>
        <v>0.824175824175824</v>
      </c>
    </row>
    <row r="12" customFormat="false" ht="15" hidden="false" customHeight="false" outlineLevel="0" collapsed="false">
      <c r="B12" s="17" t="s">
        <v>374</v>
      </c>
      <c r="C12" s="23" t="n">
        <f aca="false">IFERROR((C7+C8)/(C6-C10),0)</f>
        <v>1</v>
      </c>
    </row>
    <row r="13" customFormat="false" ht="15" hidden="false" customHeight="false" outlineLevel="0" collapsed="false">
      <c r="B13" s="17" t="s">
        <v>375</v>
      </c>
      <c r="C13" s="22" t="s">
        <v>376</v>
      </c>
    </row>
    <row r="16" customFormat="false" ht="16.15" hidden="false" customHeight="false" outlineLevel="0" collapsed="false">
      <c r="B16" s="21" t="s">
        <v>377</v>
      </c>
    </row>
    <row r="17" customFormat="false" ht="30" hidden="false" customHeight="true" outlineLevel="0" collapsed="false">
      <c r="B17" s="18" t="s">
        <v>60</v>
      </c>
      <c r="C17" s="18" t="s">
        <v>378</v>
      </c>
      <c r="D17" s="18" t="s">
        <v>41</v>
      </c>
      <c r="E17" s="18" t="s">
        <v>43</v>
      </c>
      <c r="F17" s="18" t="s">
        <v>45</v>
      </c>
      <c r="G17" s="18" t="s">
        <v>47</v>
      </c>
      <c r="H17" s="18" t="s">
        <v>379</v>
      </c>
      <c r="I17" s="18" t="s">
        <v>380</v>
      </c>
    </row>
    <row r="18" customFormat="false" ht="15" hidden="false" customHeight="false" outlineLevel="0" collapsed="false">
      <c r="B18" s="24" t="s">
        <v>66</v>
      </c>
      <c r="C18" s="25" t="n">
        <f aca="false">COUNTIF(Crosswalk!C2:C94,"Organizational")</f>
        <v>37</v>
      </c>
      <c r="D18" s="25" t="n">
        <f aca="false">COUNTIFS(Crosswalk!C2:C94,"Organizational",Crosswalk!E2:E94,"Full")</f>
        <v>29</v>
      </c>
      <c r="E18" s="25" t="n">
        <f aca="false">COUNTIFS(Crosswalk!C2:C94,"Organizational",Crosswalk!E2:E94,"Partial")</f>
        <v>8</v>
      </c>
      <c r="F18" s="25" t="n">
        <f aca="false">COUNTIFS(Crosswalk!C2:C94,"Organizational",Crosswalk!E2:E94,"Gap")</f>
        <v>0</v>
      </c>
      <c r="G18" s="25" t="n">
        <f aca="false">COUNTIFS(Crosswalk!C2:C94,"Organizational",Crosswalk!E2:E94,"N/A")</f>
        <v>0</v>
      </c>
      <c r="H18" s="26" t="n">
        <f aca="false">IFERROR(D18/(C18-G18),0)</f>
        <v>0.783783783783784</v>
      </c>
      <c r="I18" s="26" t="n">
        <f aca="false">IFERROR((D18+E18)/(C18-G18),0)</f>
        <v>1</v>
      </c>
    </row>
    <row r="19" customFormat="false" ht="15" hidden="false" customHeight="false" outlineLevel="0" collapsed="false">
      <c r="B19" s="24" t="s">
        <v>194</v>
      </c>
      <c r="C19" s="25" t="n">
        <f aca="false">COUNTIF(Crosswalk!C2:C94,"People")</f>
        <v>8</v>
      </c>
      <c r="D19" s="25" t="n">
        <f aca="false">COUNTIFS(Crosswalk!C2:C94,"People",Crosswalk!E2:E94,"Full")</f>
        <v>7</v>
      </c>
      <c r="E19" s="25" t="n">
        <f aca="false">COUNTIFS(Crosswalk!C2:C94,"People",Crosswalk!E2:E94,"Partial")</f>
        <v>1</v>
      </c>
      <c r="F19" s="25" t="n">
        <f aca="false">COUNTIFS(Crosswalk!C2:C94,"People",Crosswalk!E2:E94,"Gap")</f>
        <v>0</v>
      </c>
      <c r="G19" s="25" t="n">
        <f aca="false">COUNTIFS(Crosswalk!C2:C94,"People",Crosswalk!E2:E94,"N/A")</f>
        <v>0</v>
      </c>
      <c r="H19" s="26" t="n">
        <f aca="false">IFERROR(D19/(C19-G19),0)</f>
        <v>0.875</v>
      </c>
      <c r="I19" s="26" t="n">
        <f aca="false">IFERROR((D19+E19)/(C19-G19),0)</f>
        <v>1</v>
      </c>
    </row>
    <row r="20" customFormat="false" ht="15" hidden="false" customHeight="false" outlineLevel="0" collapsed="false">
      <c r="B20" s="24" t="s">
        <v>220</v>
      </c>
      <c r="C20" s="25" t="n">
        <f aca="false">COUNTIF(Crosswalk!C2:C94,"Physical")</f>
        <v>14</v>
      </c>
      <c r="D20" s="25" t="n">
        <f aca="false">COUNTIFS(Crosswalk!C2:C94,"Physical",Crosswalk!E2:E94,"Full")</f>
        <v>11</v>
      </c>
      <c r="E20" s="25" t="n">
        <f aca="false">COUNTIFS(Crosswalk!C2:C94,"Physical",Crosswalk!E2:E94,"Partial")</f>
        <v>2</v>
      </c>
      <c r="F20" s="25" t="n">
        <f aca="false">COUNTIFS(Crosswalk!C2:C94,"Physical",Crosswalk!E2:E94,"Gap")</f>
        <v>0</v>
      </c>
      <c r="G20" s="25" t="n">
        <f aca="false">COUNTIFS(Crosswalk!C2:C94,"Physical",Crosswalk!E2:E94,"N/A")</f>
        <v>1</v>
      </c>
      <c r="H20" s="26" t="n">
        <f aca="false">IFERROR(D20/(C20-G20),0)</f>
        <v>0.846153846153846</v>
      </c>
      <c r="I20" s="26" t="n">
        <f aca="false">IFERROR((D20+E20)/(C20-G20),0)</f>
        <v>1</v>
      </c>
    </row>
    <row r="21" customFormat="false" ht="15" hidden="false" customHeight="false" outlineLevel="0" collapsed="false">
      <c r="B21" s="24" t="s">
        <v>261</v>
      </c>
      <c r="C21" s="25" t="n">
        <f aca="false">COUNTIF(Crosswalk!C2:C94,"Technological")</f>
        <v>34</v>
      </c>
      <c r="D21" s="25" t="n">
        <f aca="false">COUNTIFS(Crosswalk!C2:C94,"Technological",Crosswalk!E2:E94,"Full")</f>
        <v>28</v>
      </c>
      <c r="E21" s="25" t="n">
        <f aca="false">COUNTIFS(Crosswalk!C2:C94,"Technological",Crosswalk!E2:E94,"Partial")</f>
        <v>5</v>
      </c>
      <c r="F21" s="25" t="n">
        <f aca="false">COUNTIFS(Crosswalk!C2:C94,"Technological",Crosswalk!E2:E94,"Gap")</f>
        <v>0</v>
      </c>
      <c r="G21" s="25" t="n">
        <f aca="false">COUNTIFS(Crosswalk!C2:C94,"Technological",Crosswalk!E2:E94,"N/A")</f>
        <v>1</v>
      </c>
      <c r="H21" s="26" t="n">
        <f aca="false">IFERROR(D21/(C21-G21),0)</f>
        <v>0.848484848484849</v>
      </c>
      <c r="I21" s="26" t="n">
        <f aca="false">IFERROR((D21+E21)/(C21-G21),0)</f>
        <v>1</v>
      </c>
    </row>
    <row r="22" customFormat="false" ht="15" hidden="false" customHeight="false" outlineLevel="0" collapsed="false">
      <c r="B22" s="27" t="s">
        <v>381</v>
      </c>
      <c r="C22" s="28" t="n">
        <f aca="false">SUM(C18:C21)</f>
        <v>93</v>
      </c>
      <c r="D22" s="28" t="n">
        <f aca="false">SUM(D18:D21)</f>
        <v>75</v>
      </c>
      <c r="E22" s="28" t="n">
        <f aca="false">SUM(E18:E21)</f>
        <v>16</v>
      </c>
      <c r="F22" s="28" t="n">
        <f aca="false">SUM(F18:F21)</f>
        <v>0</v>
      </c>
      <c r="G22" s="28" t="n">
        <f aca="false">SUM(G18:G21)</f>
        <v>2</v>
      </c>
      <c r="H22" s="29" t="n">
        <f aca="false">IFERROR(D22/(C22-G22),0)</f>
        <v>0.824175824175824</v>
      </c>
      <c r="I22" s="29" t="n">
        <f aca="false">IFERROR((D22+E22)/(C22-G22),0)</f>
        <v>1</v>
      </c>
    </row>
    <row r="25" customFormat="false" ht="15" hidden="false" customHeight="false" outlineLevel="0" collapsed="false">
      <c r="B25" s="10" t="s">
        <v>382</v>
      </c>
    </row>
    <row r="26" customFormat="false" ht="15" hidden="false" customHeight="true" outlineLevel="0" collapsed="false">
      <c r="B26" s="30" t="s">
        <v>383</v>
      </c>
      <c r="C26" s="30"/>
      <c r="D26" s="30"/>
      <c r="E26" s="30"/>
      <c r="F26" s="30"/>
      <c r="G26" s="30"/>
      <c r="H26" s="30"/>
      <c r="I26" s="30"/>
    </row>
    <row r="27" customFormat="false" ht="15" hidden="false" customHeight="false" outlineLevel="0" collapsed="false">
      <c r="B27" s="30"/>
      <c r="C27" s="30"/>
      <c r="D27" s="30"/>
      <c r="E27" s="30"/>
      <c r="F27" s="30"/>
      <c r="G27" s="30"/>
      <c r="H27" s="30"/>
      <c r="I27" s="30"/>
    </row>
    <row r="28" customFormat="false" ht="15" hidden="false" customHeight="false" outlineLevel="0" collapsed="false">
      <c r="B28" s="30"/>
      <c r="C28" s="30"/>
      <c r="D28" s="30"/>
      <c r="E28" s="30"/>
      <c r="F28" s="30"/>
      <c r="G28" s="30"/>
      <c r="H28" s="30"/>
      <c r="I28" s="30"/>
    </row>
    <row r="29" customFormat="false" ht="15" hidden="false" customHeight="false" outlineLevel="0" collapsed="false">
      <c r="B29" s="30"/>
      <c r="C29" s="30"/>
      <c r="D29" s="30"/>
      <c r="E29" s="30"/>
      <c r="F29" s="30"/>
      <c r="G29" s="30"/>
      <c r="H29" s="30"/>
      <c r="I29" s="30"/>
    </row>
  </sheetData>
  <mergeCells count="1">
    <mergeCell ref="B26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0"/>
    <col collapsed="false" customWidth="true" hidden="false" outlineLevel="0" max="4" min="4" style="1" width="70"/>
  </cols>
  <sheetData>
    <row r="2" customFormat="false" ht="19.7" hidden="false" customHeight="false" outlineLevel="0" collapsed="false">
      <c r="B2" s="9" t="s">
        <v>384</v>
      </c>
    </row>
    <row r="3" customFormat="false" ht="15" hidden="false" customHeight="false" outlineLevel="0" collapsed="false">
      <c r="B3" s="31" t="s">
        <v>385</v>
      </c>
    </row>
    <row r="5" customFormat="false" ht="27.75" hidden="false" customHeight="true" outlineLevel="0" collapsed="false">
      <c r="A5" s="18" t="s">
        <v>386</v>
      </c>
      <c r="B5" s="18" t="s">
        <v>387</v>
      </c>
      <c r="C5" s="18" t="s">
        <v>388</v>
      </c>
      <c r="D5" s="18" t="s">
        <v>389</v>
      </c>
    </row>
    <row r="6" customFormat="false" ht="49.5" hidden="false" customHeight="true" outlineLevel="0" collapsed="false">
      <c r="A6" s="32" t="s">
        <v>390</v>
      </c>
      <c r="B6" s="33" t="s">
        <v>391</v>
      </c>
      <c r="C6" s="19" t="s">
        <v>392</v>
      </c>
      <c r="D6" s="19" t="s">
        <v>393</v>
      </c>
    </row>
    <row r="7" customFormat="false" ht="49.5" hidden="false" customHeight="true" outlineLevel="0" collapsed="false">
      <c r="A7" s="32" t="s">
        <v>394</v>
      </c>
      <c r="B7" s="33" t="s">
        <v>83</v>
      </c>
      <c r="C7" s="19" t="s">
        <v>395</v>
      </c>
      <c r="D7" s="19" t="s">
        <v>396</v>
      </c>
    </row>
    <row r="8" customFormat="false" ht="49.5" hidden="false" customHeight="true" outlineLevel="0" collapsed="false">
      <c r="A8" s="32" t="s">
        <v>397</v>
      </c>
      <c r="B8" s="33" t="s">
        <v>83</v>
      </c>
      <c r="C8" s="19" t="s">
        <v>398</v>
      </c>
      <c r="D8" s="19" t="s">
        <v>399</v>
      </c>
    </row>
    <row r="9" customFormat="false" ht="49.5" hidden="false" customHeight="true" outlineLevel="0" collapsed="false">
      <c r="A9" s="32" t="s">
        <v>400</v>
      </c>
      <c r="B9" s="33" t="s">
        <v>401</v>
      </c>
      <c r="C9" s="19" t="s">
        <v>402</v>
      </c>
      <c r="D9" s="19" t="s">
        <v>403</v>
      </c>
    </row>
    <row r="10" customFormat="false" ht="49.5" hidden="false" customHeight="true" outlineLevel="0" collapsed="false">
      <c r="A10" s="32" t="s">
        <v>404</v>
      </c>
      <c r="B10" s="33" t="s">
        <v>185</v>
      </c>
      <c r="C10" s="19" t="s">
        <v>405</v>
      </c>
      <c r="D10" s="19" t="s">
        <v>406</v>
      </c>
    </row>
    <row r="11" customFormat="false" ht="49.5" hidden="false" customHeight="true" outlineLevel="0" collapsed="false">
      <c r="A11" s="32" t="s">
        <v>407</v>
      </c>
      <c r="B11" s="33" t="s">
        <v>105</v>
      </c>
      <c r="C11" s="19" t="s">
        <v>408</v>
      </c>
      <c r="D11" s="19" t="s">
        <v>409</v>
      </c>
    </row>
    <row r="12" customFormat="false" ht="49.5" hidden="false" customHeight="true" outlineLevel="0" collapsed="false">
      <c r="A12" s="32" t="s">
        <v>410</v>
      </c>
      <c r="B12" s="33" t="s">
        <v>221</v>
      </c>
      <c r="C12" s="19" t="s">
        <v>411</v>
      </c>
      <c r="D12" s="19" t="s">
        <v>412</v>
      </c>
    </row>
    <row r="13" customFormat="false" ht="49.5" hidden="false" customHeight="true" outlineLevel="0" collapsed="false">
      <c r="A13" s="32" t="s">
        <v>413</v>
      </c>
      <c r="B13" s="33" t="s">
        <v>155</v>
      </c>
      <c r="C13" s="19" t="s">
        <v>414</v>
      </c>
      <c r="D13" s="19" t="s">
        <v>415</v>
      </c>
    </row>
    <row r="14" customFormat="false" ht="49.5" hidden="false" customHeight="true" outlineLevel="0" collapsed="false">
      <c r="A14" s="32" t="s">
        <v>416</v>
      </c>
      <c r="B14" s="33" t="s">
        <v>287</v>
      </c>
      <c r="C14" s="19" t="s">
        <v>417</v>
      </c>
      <c r="D14" s="19" t="s">
        <v>418</v>
      </c>
    </row>
    <row r="15" customFormat="false" ht="49.5" hidden="false" customHeight="true" outlineLevel="0" collapsed="false">
      <c r="A15" s="32" t="s">
        <v>419</v>
      </c>
      <c r="B15" s="33" t="s">
        <v>287</v>
      </c>
      <c r="C15" s="19" t="s">
        <v>420</v>
      </c>
      <c r="D15" s="19" t="s">
        <v>421</v>
      </c>
    </row>
    <row r="16" customFormat="false" ht="49.5" hidden="false" customHeight="true" outlineLevel="0" collapsed="false">
      <c r="A16" s="32" t="s">
        <v>422</v>
      </c>
      <c r="B16" s="33" t="s">
        <v>109</v>
      </c>
      <c r="C16" s="19" t="s">
        <v>423</v>
      </c>
      <c r="D16" s="19" t="s">
        <v>424</v>
      </c>
    </row>
    <row r="17" customFormat="false" ht="49.5" hidden="false" customHeight="true" outlineLevel="0" collapsed="false">
      <c r="A17" s="32" t="s">
        <v>376</v>
      </c>
      <c r="B17" s="33" t="s">
        <v>109</v>
      </c>
      <c r="C17" s="19" t="s">
        <v>425</v>
      </c>
      <c r="D17" s="19" t="s">
        <v>426</v>
      </c>
    </row>
    <row r="19" customFormat="false" ht="15" hidden="false" customHeight="false" outlineLevel="0" collapsed="false">
      <c r="B19" s="7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2026-05-09T06:52:58Z</dcterms:created>
  <dc:creator>openpyxl</dc:creator>
  <dc:description/>
  <dc:language>en-US</dc:language>
  <cp:lastModifiedBy/>
  <dcterms:modified xsi:type="dcterms:W3CDTF">2026-05-09T06:52:58Z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