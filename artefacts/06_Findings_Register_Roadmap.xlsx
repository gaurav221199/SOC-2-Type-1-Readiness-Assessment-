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indings Register" sheetId="2" state="visible" r:id="rId4"/>
    <sheet name="90-Day Roadmap" sheetId="3" state="visible" r:id="rId5"/>
    <sheet name="Effort Summary" sheetId="4" state="visible" r:id="rId6"/>
    <sheet name="Status Tracker" sheetId="5" state="visible" r:id="rId7"/>
  </sheets>
  <definedNames>
    <definedName function="false" hidden="true" localSheetId="1" name="_xlnm._FilterDatabase" vbProcedure="false">'Findings Register'!$A$1:$L$23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<sst xmlns="http://schemas.openxmlformats.org/spreadsheetml/2006/main" count="509" uniqueCount="233">
  <si>
    <t xml:space="preserve">FINDINGS REGISTER &amp; 90-DAY REMEDIATION ROADMAP</t>
  </si>
  <si>
    <t xml:space="preserve">SOC 2 Type 1 Readiness Assessment</t>
  </si>
  <si>
    <t xml:space="preserve">Client (Simulated):</t>
  </si>
  <si>
    <t xml:space="preserve">MeridianHealth Analytics Pty Ltd</t>
  </si>
  <si>
    <t xml:space="preserve">Engagement:</t>
  </si>
  <si>
    <t xml:space="preserve">MHA-SOC2-2026-001</t>
  </si>
  <si>
    <t xml:space="preserve">Total Findings:</t>
  </si>
  <si>
    <t xml:space="preserve">22 (4 High, 18 Medium, including informational Lows)</t>
  </si>
  <si>
    <t xml:space="preserve">Remediation Window:</t>
  </si>
  <si>
    <t xml:space="preserve">90 days (29 April 2026 – 28 July 2026)</t>
  </si>
  <si>
    <t xml:space="preserve">Sprint Cadence:</t>
  </si>
  <si>
    <t xml:space="preserve">6 two-week sprints</t>
  </si>
  <si>
    <t xml:space="preserve">Prepared By:</t>
  </si>
  <si>
    <t xml:space="preserve">Gaurav Govind, GRC Analyst</t>
  </si>
  <si>
    <t xml:space="preserve">Date:</t>
  </si>
  <si>
    <t xml:space="preserve">28 April 2026</t>
  </si>
  <si>
    <t xml:space="preserve">Version:</t>
  </si>
  <si>
    <t xml:space="preserve">1.0 — Final</t>
  </si>
  <si>
    <t xml:space="preserve">Classification:</t>
  </si>
  <si>
    <t xml:space="preserve">Confidential — Client</t>
  </si>
  <si>
    <t xml:space="preserve">WORKBOOK CONTENTS</t>
  </si>
  <si>
    <t xml:space="preserve">Cover</t>
  </si>
  <si>
    <t xml:space="preserve">This sheet</t>
  </si>
  <si>
    <t xml:space="preserve">Findings Register</t>
  </si>
  <si>
    <t xml:space="preserve">All 22 findings with severity, owner, effort, target date, status</t>
  </si>
  <si>
    <t xml:space="preserve">90-Day Roadmap</t>
  </si>
  <si>
    <t xml:space="preserve">Sprint-by-sprint sequencing of remediation</t>
  </si>
  <si>
    <t xml:space="preserve">Effort Summary</t>
  </si>
  <si>
    <t xml:space="preserve">Effort metrics by severity, owner, and sprint (formulas)</t>
  </si>
  <si>
    <t xml:space="preserve">Status Tracker</t>
  </si>
  <si>
    <t xml:space="preserve">Tracking template for remediation progress</t>
  </si>
  <si>
    <t xml:space="preserve">Finding ID</t>
  </si>
  <si>
    <t xml:space="preserve">Control Ref</t>
  </si>
  <si>
    <t xml:space="preserve">Finding Title</t>
  </si>
  <si>
    <t xml:space="preserve">Severity</t>
  </si>
  <si>
    <t xml:space="preserve">CC</t>
  </si>
  <si>
    <t xml:space="preserve">Description</t>
  </si>
  <si>
    <t xml:space="preserve">Recommendation</t>
  </si>
  <si>
    <t xml:space="preserve">Owner</t>
  </si>
  <si>
    <t xml:space="preserve">Effort (days)</t>
  </si>
  <si>
    <t xml:space="preserve">Sprint</t>
  </si>
  <si>
    <t xml:space="preserve">Target Date</t>
  </si>
  <si>
    <t xml:space="preserve">Status</t>
  </si>
  <si>
    <t xml:space="preserve">F-001</t>
  </si>
  <si>
    <t xml:space="preserve">CC1.4-02</t>
  </si>
  <si>
    <t xml:space="preserve">Incomplete security awareness training &amp; no phishing simulation</t>
  </si>
  <si>
    <t xml:space="preserve">High</t>
  </si>
  <si>
    <t xml:space="preserve">CC1</t>
  </si>
  <si>
    <t xml:space="preserve">KnowBe4 deployed but completion at 78% (target 100%); phishing simulation feature not enabled.</t>
  </si>
  <si>
    <t xml:space="preserve">Drive completion to 100% before audit period; enable monthly phishing simulations; retain per-user evidence.</t>
  </si>
  <si>
    <t xml:space="preserve">CISO</t>
  </si>
  <si>
    <t xml:space="preserve">Sprint 1</t>
  </si>
  <si>
    <t xml:space="preserve">31 March 2026</t>
  </si>
  <si>
    <t xml:space="preserve">Open</t>
  </si>
  <si>
    <t xml:space="preserve">F-002</t>
  </si>
  <si>
    <t xml:space="preserve">CC2.3-02</t>
  </si>
  <si>
    <t xml:space="preserve">No defined customer incident notification SLA</t>
  </si>
  <si>
    <t xml:space="preserve">CC2</t>
  </si>
  <si>
    <t xml:space="preserve">MSA references 'reasonable timeframes' rather than a contractual SLA; US healthcare clients expect 72-hour notice.</t>
  </si>
  <si>
    <t xml:space="preserve">Define and contractually commit to 72-hour incident notification SLA; update MSA template; communicate to existing customers.</t>
  </si>
  <si>
    <t xml:space="preserve">CISO / General Counsel</t>
  </si>
  <si>
    <t xml:space="preserve">F-003</t>
  </si>
  <si>
    <t xml:space="preserve">CC6.2-01</t>
  </si>
  <si>
    <t xml:space="preserve">Annual access reviews fall short of SOC 2 audit expectation</t>
  </si>
  <si>
    <t xml:space="preserve">CC6</t>
  </si>
  <si>
    <t xml:space="preserve">Production AWS, Okta, GitHub, and database access reviewed annually; SOC 2 audit pattern is quarterly with retained manager sign-off.</t>
  </si>
  <si>
    <t xml:space="preserve">Move to quarterly access reviews; build manager sign-off workflow in Vanta or ServiceNow; retain evidence.</t>
  </si>
  <si>
    <t xml:space="preserve">CISO / People &amp; Culture</t>
  </si>
  <si>
    <t xml:space="preserve">F-004</t>
  </si>
  <si>
    <t xml:space="preserve">CC9.2-04</t>
  </si>
  <si>
    <t xml:space="preserve">No CUEC tracker for sub-service organisations</t>
  </si>
  <si>
    <t xml:space="preserve">CC9</t>
  </si>
  <si>
    <t xml:space="preserve">AWS, Okta, Datadog SOC 2 reports collected but Complementary User Entity Controls not formally mapped or tracked.</t>
  </si>
  <si>
    <t xml:space="preserve">Build CUEC tracker mapping each sub-service organisation user-entity-control consideration to a MeridianHealth control; review on each new SOC report.</t>
  </si>
  <si>
    <t xml:space="preserve">F-005</t>
  </si>
  <si>
    <t xml:space="preserve">CC1.2-01</t>
  </si>
  <si>
    <t xml:space="preserve">No Board-level Information Security Charter</t>
  </si>
  <si>
    <t xml:space="preserve">Medium</t>
  </si>
  <si>
    <t xml:space="preserve">Quarterly security update on Board agenda since Q3 FY24, but no documented Board-level Security Charter or Risk Appetite Statement.</t>
  </si>
  <si>
    <t xml:space="preserve">Draft and adopt a Board-approved Information Security Charter and Risk Appetite Statement aligned with US assurance expectations.</t>
  </si>
  <si>
    <t xml:space="preserve">CISO / Board Secretary</t>
  </si>
  <si>
    <t xml:space="preserve">Sprint 2</t>
  </si>
  <si>
    <t xml:space="preserve">14 April 2026</t>
  </si>
  <si>
    <t xml:space="preserve">F-006</t>
  </si>
  <si>
    <t xml:space="preserve">CC2.3-01</t>
  </si>
  <si>
    <t xml:space="preserve">No customer-facing Trust Centre</t>
  </si>
  <si>
    <t xml:space="preserve">MSA includes generic security clauses; no customer-facing Trust Centre or security commitments page.</t>
  </si>
  <si>
    <t xml:space="preserve">Build customer-facing Trust Centre publishing SOC 2 status, ISO 27001 certificate, and incident notification commitments.</t>
  </si>
  <si>
    <t xml:space="preserve">CISO / Marketing</t>
  </si>
  <si>
    <t xml:space="preserve">Sprint 3</t>
  </si>
  <si>
    <t xml:space="preserve">F-007</t>
  </si>
  <si>
    <t xml:space="preserve">CC3.2-02</t>
  </si>
  <si>
    <t xml:space="preserve">No formal fraud risk assessment</t>
  </si>
  <si>
    <t xml:space="preserve">CC3</t>
  </si>
  <si>
    <t xml:space="preserve">No formal fraud risk assessment documented; fraud risk covered informally by Finance.</t>
  </si>
  <si>
    <t xml:space="preserve">Conduct an annual fraud risk assessment covering financial, operational, and IT-fraud scenarios; document and link to risk register.</t>
  </si>
  <si>
    <t xml:space="preserve">CFO / CISO</t>
  </si>
  <si>
    <t xml:space="preserve">F-008</t>
  </si>
  <si>
    <t xml:space="preserve">CC4.1-01</t>
  </si>
  <si>
    <t xml:space="preserve">No independent internal audit function</t>
  </si>
  <si>
    <t xml:space="preserve">CC4</t>
  </si>
  <si>
    <t xml:space="preserve">Internal audit performed by CISO team annually; not independent of management.</t>
  </si>
  <si>
    <t xml:space="preserve">Engage external internal-audit provider for FY26; alternatively rotate auditor across leadership.</t>
  </si>
  <si>
    <t xml:space="preserve">CISO / Audit Committee</t>
  </si>
  <si>
    <t xml:space="preserve">Sprint 4</t>
  </si>
  <si>
    <t xml:space="preserve">12 May 2026</t>
  </si>
  <si>
    <t xml:space="preserve">F-009</t>
  </si>
  <si>
    <t xml:space="preserve">CC5.3-01</t>
  </si>
  <si>
    <t xml:space="preserve">Stale policies awaiting review</t>
  </si>
  <si>
    <t xml:space="preserve">CC5</t>
  </si>
  <si>
    <t xml:space="preserve">Four policies (DLP, Cryptography, Mobile Device, Acceptable Use) are over 24 months old without review.</t>
  </si>
  <si>
    <t xml:space="preserve">Refresh stale policies; implement annual policy review cadence; adopt Vanta or Drata acknowledgement workflow.</t>
  </si>
  <si>
    <t xml:space="preserve">F-010</t>
  </si>
  <si>
    <t xml:space="preserve">CC5.3-02</t>
  </si>
  <si>
    <t xml:space="preserve">Segregation of Duties not formally documented</t>
  </si>
  <si>
    <t xml:space="preserve">Production deployment requires peer review in GitHub; SoD not formally documented across deployment, access, and financial approvals.</t>
  </si>
  <si>
    <t xml:space="preserve">Document SoD matrix covering deployment, access provisioning, and financial approvals; review quarterly.</t>
  </si>
  <si>
    <t xml:space="preserve">CTO / CISO</t>
  </si>
  <si>
    <t xml:space="preserve">F-011</t>
  </si>
  <si>
    <t xml:space="preserve">CC6.1-03</t>
  </si>
  <si>
    <t xml:space="preserve">No PAM tool for OS-level admin access</t>
  </si>
  <si>
    <t xml:space="preserve">AWS admin via IAM Identity Center with break-glass; no PAM tool for OS-level admin on EC2.</t>
  </si>
  <si>
    <t xml:space="preserve">Implement Teleport or AWS Systems Manager Session Manager for OS-level access with session recording.</t>
  </si>
  <si>
    <t xml:space="preserve">Security Engineering</t>
  </si>
  <si>
    <t xml:space="preserve">F-012</t>
  </si>
  <si>
    <t xml:space="preserve">CC6.1-04</t>
  </si>
  <si>
    <t xml:space="preserve">No service account inventory</t>
  </si>
  <si>
    <t xml:space="preserve">Service accounts exist in AWS IAM and GitHub; no central inventory or owner mapping.</t>
  </si>
  <si>
    <t xml:space="preserve">Build service account inventory with owner, purpose, last-used date; review quarterly.</t>
  </si>
  <si>
    <t xml:space="preserve">F-013</t>
  </si>
  <si>
    <t xml:space="preserve">CC7.1-02</t>
  </si>
  <si>
    <t xml:space="preserve">Vulnerability remediation backlog</t>
  </si>
  <si>
    <t xml:space="preserve">CC7</t>
  </si>
  <si>
    <t xml:space="preserve">12 High-severity vulnerabilities currently open beyond 30-day SLA.</t>
  </si>
  <si>
    <t xml:space="preserve">Close out backlog of 12 overdue Highs before audit period; report SLA compliance monthly.</t>
  </si>
  <si>
    <t xml:space="preserve">F-014</t>
  </si>
  <si>
    <t xml:space="preserve">CC7.3-01</t>
  </si>
  <si>
    <t xml:space="preserve">Incident response tabletop overdue</t>
  </si>
  <si>
    <t xml:space="preserve">IR Plan v3.0 (Jan 2025); tabletop exercise overdue (last conducted Sep 2024).</t>
  </si>
  <si>
    <t xml:space="preserve">Conduct tabletop exercise within 30 days; schedule semi-annual cadence; retain after-action reports.</t>
  </si>
  <si>
    <t xml:space="preserve">F-015</t>
  </si>
  <si>
    <t xml:space="preserve">CC7.4-01</t>
  </si>
  <si>
    <t xml:space="preserve">No customer communications playbook</t>
  </si>
  <si>
    <t xml:space="preserve">Internal comms via Slack #incident-response; external comms ad-hoc.</t>
  </si>
  <si>
    <t xml:space="preserve">Document Communications Playbook covering customer, regulator, and media communications by incident type.</t>
  </si>
  <si>
    <t xml:space="preserve">F-016</t>
  </si>
  <si>
    <t xml:space="preserve">CC7.5-02</t>
  </si>
  <si>
    <t xml:space="preserve">Backup recovery not recently tested</t>
  </si>
  <si>
    <t xml:space="preserve">RDS automated backups in place; full recovery test last performed Aug 2024.</t>
  </si>
  <si>
    <t xml:space="preserve">Conduct full recovery test before audit period; document RTO/RPO results; schedule semi-annual cadence.</t>
  </si>
  <si>
    <t xml:space="preserve">Platform Engineering</t>
  </si>
  <si>
    <t xml:space="preserve">F-017</t>
  </si>
  <si>
    <t xml:space="preserve">CC8.1-05</t>
  </si>
  <si>
    <t xml:space="preserve">Change evidence retention below audit expectation</t>
  </si>
  <si>
    <t xml:space="preserve">CC8</t>
  </si>
  <si>
    <t xml:space="preserve">GitHub PRs and Jira tickets retained 6 months by default; auditor expects 12+ months.</t>
  </si>
  <si>
    <t xml:space="preserve">Extend retention of GitHub and Jira data to 24 months minimum; export quarterly to long-term archive.</t>
  </si>
  <si>
    <t xml:space="preserve">Engineering</t>
  </si>
  <si>
    <t xml:space="preserve">F-018</t>
  </si>
  <si>
    <t xml:space="preserve">CC9.1-01</t>
  </si>
  <si>
    <t xml:space="preserve">BCP not tested in last 12 months</t>
  </si>
  <si>
    <t xml:space="preserve">BCP v2.1 documented; not tested in last 12 months.</t>
  </si>
  <si>
    <t xml:space="preserve">Conduct BCP exercise (e.g., simulated AWS region failure) within 60 days; document outcomes.</t>
  </si>
  <si>
    <t xml:space="preserve">COO / CISO</t>
  </si>
  <si>
    <t xml:space="preserve">F-019</t>
  </si>
  <si>
    <t xml:space="preserve">CC9.1-02</t>
  </si>
  <si>
    <t xml:space="preserve">DR cross-region failover untested</t>
  </si>
  <si>
    <t xml:space="preserve">DR plan exists; cross-region failover untested at full scale.</t>
  </si>
  <si>
    <t xml:space="preserve">Conduct full DR failover test to us-east-1; validate RTO 4hr / RPO 15min; document outcomes.</t>
  </si>
  <si>
    <t xml:space="preserve">F-020</t>
  </si>
  <si>
    <t xml:space="preserve">CC9.2-02</t>
  </si>
  <si>
    <t xml:space="preserve">No continuous vendor monitoring</t>
  </si>
  <si>
    <t xml:space="preserve">Annual reassessment for Tier 1 vendors; no continuous monitoring (e.g., SecurityScorecard).</t>
  </si>
  <si>
    <t xml:space="preserve">Implement BitSight or SecurityScorecard for Tier 1 vendors; review monthly; integrate with risk register.</t>
  </si>
  <si>
    <t xml:space="preserve">Procurement / CISO</t>
  </si>
  <si>
    <t xml:space="preserve">F-021</t>
  </si>
  <si>
    <t xml:space="preserve">CC9.2-07</t>
  </si>
  <si>
    <t xml:space="preserve">Automated retention/deletion not implemented</t>
  </si>
  <si>
    <t xml:space="preserve">Retention policy defines 7-year retention for healthcare data; automated deletion not implemented for log data, support tickets, analytics datasets.</t>
  </si>
  <si>
    <t xml:space="preserve">Implement automated retention/deletion across log data, customer support tickets, and analytics datasets per Data Retention Standard.</t>
  </si>
  <si>
    <t xml:space="preserve">CISO / Platform Engineering</t>
  </si>
  <si>
    <t xml:space="preserve">Sprint 5</t>
  </si>
  <si>
    <t xml:space="preserve">26 May 2026</t>
  </si>
  <si>
    <t xml:space="preserve">F-022</t>
  </si>
  <si>
    <t xml:space="preserve">CC1.1-01</t>
  </si>
  <si>
    <t xml:space="preserve">Manual training acknowledgement tracking</t>
  </si>
  <si>
    <t xml:space="preserve">Low</t>
  </si>
  <si>
    <t xml:space="preserve">Code of Conduct annual acknowledgement tracked in BambooHR with partial manual export.</t>
  </si>
  <si>
    <t xml:space="preserve">Automate acknowledgement evidence export from BambooHR; integrate into Vanta evidence collection.</t>
  </si>
  <si>
    <t xml:space="preserve">People &amp; Culture</t>
  </si>
  <si>
    <t xml:space="preserve">90-DAY REMEDIATION ROADMAP</t>
  </si>
  <si>
    <t xml:space="preserve">6 two-week sprints — sequenced by severity and dependency</t>
  </si>
  <si>
    <t xml:space="preserve">Sprint 1 — 29 Apr – 12 May 2026</t>
  </si>
  <si>
    <t xml:space="preserve">Theme: Quick wins &amp; High-severity remediation  —  Close all High findings to remove audit-blocking issues.</t>
  </si>
  <si>
    <t xml:space="preserve">ID</t>
  </si>
  <si>
    <t xml:space="preserve">Finding</t>
  </si>
  <si>
    <t xml:space="preserve">Effort (d)</t>
  </si>
  <si>
    <t xml:space="preserve">Sprint total: 6 findings, 41 days effort</t>
  </si>
  <si>
    <t xml:space="preserve">Sprint 2 — 13 May – 26 May 2026</t>
  </si>
  <si>
    <t xml:space="preserve">Theme: Governance &amp; policies  —  Refresh stale policies; charter Board oversight; formalise fraud risk.</t>
  </si>
  <si>
    <t xml:space="preserve">Sprint total: 5 findings, 30 days effort</t>
  </si>
  <si>
    <t xml:space="preserve">Sprint 3 — 27 May – 9 Jun 2026</t>
  </si>
  <si>
    <t xml:space="preserve">Theme: Process formalisation  —  Trust Centre, SoD matrix, service account inventory, comms playbook.</t>
  </si>
  <si>
    <t xml:space="preserve">Sprint total: 5 findings, 34 days effort</t>
  </si>
  <si>
    <t xml:space="preserve">Sprint 4 — 10 Jun – 23 Jun 2026</t>
  </si>
  <si>
    <t xml:space="preserve">Theme: Resilience &amp; PAM  —  BCP/DR testing, PAM rollout, internal audit engagement.</t>
  </si>
  <si>
    <t xml:space="preserve">Sprint total: 4 findings, 39 days effort</t>
  </si>
  <si>
    <t xml:space="preserve">Sprint 5 — 24 Jun – 7 Jul 2026</t>
  </si>
  <si>
    <t xml:space="preserve">Theme: Data lifecycle &amp; automation  —  Automated retention/deletion; awareness evidence automation.</t>
  </si>
  <si>
    <t xml:space="preserve">Sprint total: 2 findings, 11 days effort</t>
  </si>
  <si>
    <t xml:space="preserve">Sprint 6 — 8 Jul – 28 Jul 2026 (final 3 weeks)</t>
  </si>
  <si>
    <t xml:space="preserve">Theme: Buffer &amp; audit prep  —  Buffer for slipped items; auditor pre-meeting; final evidence walkthrough.</t>
  </si>
  <si>
    <t xml:space="preserve">Buffer / audit-prep activities only — no new findings scheduled.</t>
  </si>
  <si>
    <t xml:space="preserve">Sprint total: 0 findings, 0 days effort</t>
  </si>
  <si>
    <t xml:space="preserve">EFFORT SUMMARY</t>
  </si>
  <si>
    <t xml:space="preserve">BY SEVERITY</t>
  </si>
  <si>
    <t xml:space="preserve">Count</t>
  </si>
  <si>
    <t xml:space="preserve">Total Effort (days)</t>
  </si>
  <si>
    <t xml:space="preserve">Avg Effort (days)</t>
  </si>
  <si>
    <t xml:space="preserve">TOTAL</t>
  </si>
  <si>
    <t xml:space="preserve">BY SPRINT</t>
  </si>
  <si>
    <t xml:space="preserve">Sprint 6</t>
  </si>
  <si>
    <t xml:space="preserve">BY OWNER (TOP CONTRIBUTORS)</t>
  </si>
  <si>
    <t xml:space="preserve">STATUS TRACKER</t>
  </si>
  <si>
    <t xml:space="preserve">Update Status column on the Findings Register sheet; this view auto-recalculates.</t>
  </si>
  <si>
    <t xml:space="preserve">OVERALL STATUS</t>
  </si>
  <si>
    <t xml:space="preserve">%</t>
  </si>
  <si>
    <t xml:space="preserve">In Progress</t>
  </si>
  <si>
    <t xml:space="preserve">Closed</t>
  </si>
  <si>
    <t xml:space="preserve">REMAINING OPEN BY SEVERITY</t>
  </si>
  <si>
    <t xml:space="preserve">Open Count</t>
  </si>
  <si>
    <t xml:space="preserve">Of Total</t>
  </si>
  <si>
    <t xml:space="preserve">% Remaining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</si>
</sst>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C7CE"/>
        <bgColor rgb="FFFFD480"/>
      </patternFill>
    </fill>
    <fill>
      <patternFill patternType="solid">
        <fgColor rgb="FFFFD480"/>
        <bgColor rgb="FFFFEB9C"/>
      </patternFill>
    </fill>
    <fill>
      <patternFill patternType="solid">
        <fgColor rgb="FFD5E8F0"/>
        <bgColor rgb="FFDDEBF7"/>
      </patternFill>
    </fill>
    <fill>
      <patternFill patternType="solid">
        <fgColor rgb="FFFFEB9C"/>
        <bgColor rgb="FFFFD480"/>
      </patternFill>
    </fill>
    <fill>
      <patternFill patternType="solid">
        <fgColor rgb="FFDDEBF7"/>
        <bgColor rgb="FFD5E8F0"/>
      </patternFill>
    </fill>
    <fill>
      <patternFill patternType="solid">
        <fgColor rgb="FFC6EFCE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48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  <dxf>
      <fill>
        <patternFill>
          <bgColor rgb="FFFFD480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6EFCE"/>
      <rgbColor rgb="FFFFEB9C"/>
      <rgbColor rgb="FF99CCFF"/>
      <rgbColor rgb="FFFF99CC"/>
      <rgbColor rgb="FFCC99FF"/>
      <rgbColor rgb="FFFFD48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5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4" t="s">
        <v>18</v>
      </c>
      <c r="C13" s="5" t="s">
        <v>19</v>
      </c>
    </row>
    <row r="16" customFormat="false" ht="17.35" hidden="false" customHeight="false" outlineLevel="0" collapsed="false">
      <c r="B16" s="6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19" customFormat="false" ht="15" hidden="false" customHeight="false" outlineLevel="0" collapsed="false">
      <c r="B19" s="4" t="s">
        <v>25</v>
      </c>
      <c r="C19" s="5" t="s">
        <v>26</v>
      </c>
    </row>
    <row r="20" customFormat="false" ht="15" hidden="false" customHeight="false" outlineLevel="0" collapsed="false">
      <c r="B20" s="4" t="s">
        <v>27</v>
      </c>
      <c r="C20" s="5" t="s">
        <v>28</v>
      </c>
    </row>
    <row r="21" customFormat="false" ht="15" hidden="false" customHeight="false" outlineLevel="0" collapsed="false">
      <c r="B21" s="4" t="s">
        <v>29</v>
      </c>
      <c r="C2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35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50"/>
    <col collapsed="false" customWidth="true" hidden="false" outlineLevel="0" max="7" min="7" style="1" width="60"/>
    <col collapsed="false" customWidth="true" hidden="false" outlineLevel="0" max="8" min="8" style="1" width="2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2" min="11" style="1" width="14"/>
  </cols>
  <sheetData>
    <row r="1" customFormat="false" ht="30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</row>
    <row r="2" customFormat="false" ht="64.5" hidden="false" customHeight="true" outlineLevel="0" collapsed="false">
      <c r="A2" s="8" t="s">
        <v>43</v>
      </c>
      <c r="B2" s="9" t="s">
        <v>44</v>
      </c>
      <c r="C2" s="8" t="s">
        <v>45</v>
      </c>
      <c r="D2" s="10" t="s">
        <v>46</v>
      </c>
      <c r="E2" s="10" t="s">
        <v>47</v>
      </c>
      <c r="F2" s="9" t="s">
        <v>48</v>
      </c>
      <c r="G2" s="9" t="s">
        <v>49</v>
      </c>
      <c r="H2" s="9" t="s">
        <v>50</v>
      </c>
      <c r="I2" s="10" t="n">
        <v>5</v>
      </c>
      <c r="J2" s="10" t="s">
        <v>51</v>
      </c>
      <c r="K2" s="10" t="s">
        <v>52</v>
      </c>
      <c r="L2" s="10" t="s">
        <v>53</v>
      </c>
    </row>
    <row r="3" customFormat="false" ht="64.5" hidden="false" customHeight="true" outlineLevel="0" collapsed="false">
      <c r="A3" s="8" t="s">
        <v>54</v>
      </c>
      <c r="B3" s="9" t="s">
        <v>55</v>
      </c>
      <c r="C3" s="8" t="s">
        <v>56</v>
      </c>
      <c r="D3" s="10" t="s">
        <v>46</v>
      </c>
      <c r="E3" s="10" t="s">
        <v>57</v>
      </c>
      <c r="F3" s="9" t="s">
        <v>58</v>
      </c>
      <c r="G3" s="9" t="s">
        <v>59</v>
      </c>
      <c r="H3" s="9" t="s">
        <v>60</v>
      </c>
      <c r="I3" s="10" t="n">
        <v>8</v>
      </c>
      <c r="J3" s="10" t="s">
        <v>51</v>
      </c>
      <c r="K3" s="10" t="s">
        <v>52</v>
      </c>
      <c r="L3" s="10" t="s">
        <v>53</v>
      </c>
    </row>
    <row r="4" customFormat="false" ht="64.5" hidden="false" customHeight="true" outlineLevel="0" collapsed="false">
      <c r="A4" s="8" t="s">
        <v>61</v>
      </c>
      <c r="B4" s="9" t="s">
        <v>62</v>
      </c>
      <c r="C4" s="8" t="s">
        <v>63</v>
      </c>
      <c r="D4" s="10" t="s">
        <v>46</v>
      </c>
      <c r="E4" s="10" t="s">
        <v>64</v>
      </c>
      <c r="F4" s="9" t="s">
        <v>65</v>
      </c>
      <c r="G4" s="9" t="s">
        <v>66</v>
      </c>
      <c r="H4" s="9" t="s">
        <v>67</v>
      </c>
      <c r="I4" s="10" t="n">
        <v>10</v>
      </c>
      <c r="J4" s="10" t="s">
        <v>51</v>
      </c>
      <c r="K4" s="10" t="s">
        <v>52</v>
      </c>
      <c r="L4" s="10" t="s">
        <v>53</v>
      </c>
    </row>
    <row r="5" customFormat="false" ht="64.5" hidden="false" customHeight="true" outlineLevel="0" collapsed="false">
      <c r="A5" s="8" t="s">
        <v>68</v>
      </c>
      <c r="B5" s="9" t="s">
        <v>69</v>
      </c>
      <c r="C5" s="8" t="s">
        <v>70</v>
      </c>
      <c r="D5" s="10" t="s">
        <v>46</v>
      </c>
      <c r="E5" s="10" t="s">
        <v>71</v>
      </c>
      <c r="F5" s="9" t="s">
        <v>72</v>
      </c>
      <c r="G5" s="9" t="s">
        <v>73</v>
      </c>
      <c r="H5" s="9" t="s">
        <v>50</v>
      </c>
      <c r="I5" s="10" t="n">
        <v>6</v>
      </c>
      <c r="J5" s="10" t="s">
        <v>51</v>
      </c>
      <c r="K5" s="10" t="s">
        <v>52</v>
      </c>
      <c r="L5" s="10" t="s">
        <v>53</v>
      </c>
    </row>
    <row r="6" customFormat="false" ht="64.5" hidden="false" customHeight="true" outlineLevel="0" collapsed="false">
      <c r="A6" s="8" t="s">
        <v>74</v>
      </c>
      <c r="B6" s="9" t="s">
        <v>75</v>
      </c>
      <c r="C6" s="8" t="s">
        <v>76</v>
      </c>
      <c r="D6" s="10" t="s">
        <v>77</v>
      </c>
      <c r="E6" s="10" t="s">
        <v>47</v>
      </c>
      <c r="F6" s="9" t="s">
        <v>78</v>
      </c>
      <c r="G6" s="9" t="s">
        <v>79</v>
      </c>
      <c r="H6" s="9" t="s">
        <v>80</v>
      </c>
      <c r="I6" s="10" t="n">
        <v>4</v>
      </c>
      <c r="J6" s="10" t="s">
        <v>81</v>
      </c>
      <c r="K6" s="10" t="s">
        <v>82</v>
      </c>
      <c r="L6" s="10" t="s">
        <v>53</v>
      </c>
    </row>
    <row r="7" customFormat="false" ht="64.5" hidden="false" customHeight="true" outlineLevel="0" collapsed="false">
      <c r="A7" s="8" t="s">
        <v>83</v>
      </c>
      <c r="B7" s="9" t="s">
        <v>84</v>
      </c>
      <c r="C7" s="8" t="s">
        <v>85</v>
      </c>
      <c r="D7" s="10" t="s">
        <v>77</v>
      </c>
      <c r="E7" s="10" t="s">
        <v>57</v>
      </c>
      <c r="F7" s="9" t="s">
        <v>86</v>
      </c>
      <c r="G7" s="9" t="s">
        <v>87</v>
      </c>
      <c r="H7" s="9" t="s">
        <v>88</v>
      </c>
      <c r="I7" s="10" t="n">
        <v>12</v>
      </c>
      <c r="J7" s="10" t="s">
        <v>89</v>
      </c>
      <c r="K7" s="10" t="s">
        <v>15</v>
      </c>
      <c r="L7" s="10" t="s">
        <v>53</v>
      </c>
    </row>
    <row r="8" customFormat="false" ht="64.5" hidden="false" customHeight="true" outlineLevel="0" collapsed="false">
      <c r="A8" s="8" t="s">
        <v>90</v>
      </c>
      <c r="B8" s="9" t="s">
        <v>91</v>
      </c>
      <c r="C8" s="8" t="s">
        <v>92</v>
      </c>
      <c r="D8" s="10" t="s">
        <v>77</v>
      </c>
      <c r="E8" s="10" t="s">
        <v>93</v>
      </c>
      <c r="F8" s="9" t="s">
        <v>94</v>
      </c>
      <c r="G8" s="9" t="s">
        <v>95</v>
      </c>
      <c r="H8" s="9" t="s">
        <v>96</v>
      </c>
      <c r="I8" s="10" t="n">
        <v>6</v>
      </c>
      <c r="J8" s="10" t="s">
        <v>81</v>
      </c>
      <c r="K8" s="10" t="s">
        <v>82</v>
      </c>
      <c r="L8" s="10" t="s">
        <v>53</v>
      </c>
    </row>
    <row r="9" customFormat="false" ht="64.5" hidden="false" customHeight="true" outlineLevel="0" collapsed="false">
      <c r="A9" s="8" t="s">
        <v>97</v>
      </c>
      <c r="B9" s="9" t="s">
        <v>98</v>
      </c>
      <c r="C9" s="8" t="s">
        <v>99</v>
      </c>
      <c r="D9" s="10" t="s">
        <v>77</v>
      </c>
      <c r="E9" s="10" t="s">
        <v>100</v>
      </c>
      <c r="F9" s="9" t="s">
        <v>101</v>
      </c>
      <c r="G9" s="9" t="s">
        <v>102</v>
      </c>
      <c r="H9" s="9" t="s">
        <v>103</v>
      </c>
      <c r="I9" s="10" t="n">
        <v>8</v>
      </c>
      <c r="J9" s="10" t="s">
        <v>104</v>
      </c>
      <c r="K9" s="10" t="s">
        <v>105</v>
      </c>
      <c r="L9" s="10" t="s">
        <v>53</v>
      </c>
    </row>
    <row r="10" customFormat="false" ht="64.5" hidden="false" customHeight="true" outlineLevel="0" collapsed="false">
      <c r="A10" s="8" t="s">
        <v>106</v>
      </c>
      <c r="B10" s="9" t="s">
        <v>107</v>
      </c>
      <c r="C10" s="8" t="s">
        <v>108</v>
      </c>
      <c r="D10" s="10" t="s">
        <v>77</v>
      </c>
      <c r="E10" s="10" t="s">
        <v>109</v>
      </c>
      <c r="F10" s="9" t="s">
        <v>110</v>
      </c>
      <c r="G10" s="9" t="s">
        <v>111</v>
      </c>
      <c r="H10" s="9" t="s">
        <v>50</v>
      </c>
      <c r="I10" s="10" t="n">
        <v>10</v>
      </c>
      <c r="J10" s="10" t="s">
        <v>81</v>
      </c>
      <c r="K10" s="10" t="s">
        <v>82</v>
      </c>
      <c r="L10" s="10" t="s">
        <v>53</v>
      </c>
    </row>
    <row r="11" customFormat="false" ht="64.5" hidden="false" customHeight="true" outlineLevel="0" collapsed="false">
      <c r="A11" s="8" t="s">
        <v>112</v>
      </c>
      <c r="B11" s="9" t="s">
        <v>113</v>
      </c>
      <c r="C11" s="8" t="s">
        <v>114</v>
      </c>
      <c r="D11" s="10" t="s">
        <v>77</v>
      </c>
      <c r="E11" s="10" t="s">
        <v>109</v>
      </c>
      <c r="F11" s="9" t="s">
        <v>115</v>
      </c>
      <c r="G11" s="9" t="s">
        <v>116</v>
      </c>
      <c r="H11" s="9" t="s">
        <v>117</v>
      </c>
      <c r="I11" s="10" t="n">
        <v>5</v>
      </c>
      <c r="J11" s="10" t="s">
        <v>89</v>
      </c>
      <c r="K11" s="10" t="s">
        <v>15</v>
      </c>
      <c r="L11" s="10" t="s">
        <v>53</v>
      </c>
    </row>
    <row r="12" customFormat="false" ht="64.5" hidden="false" customHeight="true" outlineLevel="0" collapsed="false">
      <c r="A12" s="8" t="s">
        <v>118</v>
      </c>
      <c r="B12" s="9" t="s">
        <v>119</v>
      </c>
      <c r="C12" s="8" t="s">
        <v>120</v>
      </c>
      <c r="D12" s="10" t="s">
        <v>77</v>
      </c>
      <c r="E12" s="10" t="s">
        <v>64</v>
      </c>
      <c r="F12" s="9" t="s">
        <v>121</v>
      </c>
      <c r="G12" s="9" t="s">
        <v>122</v>
      </c>
      <c r="H12" s="9" t="s">
        <v>123</v>
      </c>
      <c r="I12" s="10" t="n">
        <v>15</v>
      </c>
      <c r="J12" s="10" t="s">
        <v>104</v>
      </c>
      <c r="K12" s="10" t="s">
        <v>105</v>
      </c>
      <c r="L12" s="10" t="s">
        <v>53</v>
      </c>
    </row>
    <row r="13" customFormat="false" ht="64.5" hidden="false" customHeight="true" outlineLevel="0" collapsed="false">
      <c r="A13" s="8" t="s">
        <v>124</v>
      </c>
      <c r="B13" s="9" t="s">
        <v>125</v>
      </c>
      <c r="C13" s="8" t="s">
        <v>126</v>
      </c>
      <c r="D13" s="10" t="s">
        <v>77</v>
      </c>
      <c r="E13" s="10" t="s">
        <v>64</v>
      </c>
      <c r="F13" s="9" t="s">
        <v>127</v>
      </c>
      <c r="G13" s="9" t="s">
        <v>128</v>
      </c>
      <c r="H13" s="9" t="s">
        <v>123</v>
      </c>
      <c r="I13" s="10" t="n">
        <v>7</v>
      </c>
      <c r="J13" s="10" t="s">
        <v>89</v>
      </c>
      <c r="K13" s="10" t="s">
        <v>15</v>
      </c>
      <c r="L13" s="10" t="s">
        <v>53</v>
      </c>
    </row>
    <row r="14" customFormat="false" ht="64.5" hidden="false" customHeight="true" outlineLevel="0" collapsed="false">
      <c r="A14" s="8" t="s">
        <v>129</v>
      </c>
      <c r="B14" s="9" t="s">
        <v>130</v>
      </c>
      <c r="C14" s="8" t="s">
        <v>131</v>
      </c>
      <c r="D14" s="10" t="s">
        <v>77</v>
      </c>
      <c r="E14" s="10" t="s">
        <v>132</v>
      </c>
      <c r="F14" s="9" t="s">
        <v>133</v>
      </c>
      <c r="G14" s="9" t="s">
        <v>134</v>
      </c>
      <c r="H14" s="9" t="s">
        <v>123</v>
      </c>
      <c r="I14" s="10" t="n">
        <v>8</v>
      </c>
      <c r="J14" s="10" t="s">
        <v>51</v>
      </c>
      <c r="K14" s="10" t="s">
        <v>52</v>
      </c>
      <c r="L14" s="10" t="s">
        <v>53</v>
      </c>
    </row>
    <row r="15" customFormat="false" ht="64.5" hidden="false" customHeight="true" outlineLevel="0" collapsed="false">
      <c r="A15" s="8" t="s">
        <v>135</v>
      </c>
      <c r="B15" s="9" t="s">
        <v>136</v>
      </c>
      <c r="C15" s="8" t="s">
        <v>137</v>
      </c>
      <c r="D15" s="10" t="s">
        <v>77</v>
      </c>
      <c r="E15" s="10" t="s">
        <v>132</v>
      </c>
      <c r="F15" s="9" t="s">
        <v>138</v>
      </c>
      <c r="G15" s="9" t="s">
        <v>139</v>
      </c>
      <c r="H15" s="9" t="s">
        <v>50</v>
      </c>
      <c r="I15" s="10" t="n">
        <v>4</v>
      </c>
      <c r="J15" s="10" t="s">
        <v>51</v>
      </c>
      <c r="K15" s="10" t="s">
        <v>52</v>
      </c>
      <c r="L15" s="10" t="s">
        <v>53</v>
      </c>
    </row>
    <row r="16" customFormat="false" ht="64.5" hidden="false" customHeight="true" outlineLevel="0" collapsed="false">
      <c r="A16" s="8" t="s">
        <v>140</v>
      </c>
      <c r="B16" s="9" t="s">
        <v>141</v>
      </c>
      <c r="C16" s="8" t="s">
        <v>142</v>
      </c>
      <c r="D16" s="10" t="s">
        <v>77</v>
      </c>
      <c r="E16" s="10" t="s">
        <v>132</v>
      </c>
      <c r="F16" s="9" t="s">
        <v>143</v>
      </c>
      <c r="G16" s="9" t="s">
        <v>144</v>
      </c>
      <c r="H16" s="9" t="s">
        <v>88</v>
      </c>
      <c r="I16" s="10" t="n">
        <v>5</v>
      </c>
      <c r="J16" s="10" t="s">
        <v>89</v>
      </c>
      <c r="K16" s="10" t="s">
        <v>15</v>
      </c>
      <c r="L16" s="10" t="s">
        <v>53</v>
      </c>
    </row>
    <row r="17" customFormat="false" ht="64.5" hidden="false" customHeight="true" outlineLevel="0" collapsed="false">
      <c r="A17" s="8" t="s">
        <v>145</v>
      </c>
      <c r="B17" s="9" t="s">
        <v>146</v>
      </c>
      <c r="C17" s="8" t="s">
        <v>147</v>
      </c>
      <c r="D17" s="10" t="s">
        <v>77</v>
      </c>
      <c r="E17" s="10" t="s">
        <v>132</v>
      </c>
      <c r="F17" s="9" t="s">
        <v>148</v>
      </c>
      <c r="G17" s="9" t="s">
        <v>149</v>
      </c>
      <c r="H17" s="9" t="s">
        <v>150</v>
      </c>
      <c r="I17" s="10" t="n">
        <v>6</v>
      </c>
      <c r="J17" s="10" t="s">
        <v>81</v>
      </c>
      <c r="K17" s="10" t="s">
        <v>82</v>
      </c>
      <c r="L17" s="10" t="s">
        <v>53</v>
      </c>
    </row>
    <row r="18" customFormat="false" ht="64.5" hidden="false" customHeight="true" outlineLevel="0" collapsed="false">
      <c r="A18" s="8" t="s">
        <v>151</v>
      </c>
      <c r="B18" s="9" t="s">
        <v>152</v>
      </c>
      <c r="C18" s="8" t="s">
        <v>153</v>
      </c>
      <c r="D18" s="10" t="s">
        <v>77</v>
      </c>
      <c r="E18" s="10" t="s">
        <v>154</v>
      </c>
      <c r="F18" s="9" t="s">
        <v>155</v>
      </c>
      <c r="G18" s="9" t="s">
        <v>156</v>
      </c>
      <c r="H18" s="9" t="s">
        <v>157</v>
      </c>
      <c r="I18" s="10" t="n">
        <v>4</v>
      </c>
      <c r="J18" s="10" t="s">
        <v>81</v>
      </c>
      <c r="K18" s="10" t="s">
        <v>82</v>
      </c>
      <c r="L18" s="10" t="s">
        <v>53</v>
      </c>
    </row>
    <row r="19" customFormat="false" ht="64.5" hidden="false" customHeight="true" outlineLevel="0" collapsed="false">
      <c r="A19" s="8" t="s">
        <v>158</v>
      </c>
      <c r="B19" s="9" t="s">
        <v>159</v>
      </c>
      <c r="C19" s="8" t="s">
        <v>160</v>
      </c>
      <c r="D19" s="10" t="s">
        <v>77</v>
      </c>
      <c r="E19" s="10" t="s">
        <v>71</v>
      </c>
      <c r="F19" s="9" t="s">
        <v>161</v>
      </c>
      <c r="G19" s="9" t="s">
        <v>162</v>
      </c>
      <c r="H19" s="9" t="s">
        <v>163</v>
      </c>
      <c r="I19" s="10" t="n">
        <v>6</v>
      </c>
      <c r="J19" s="10" t="s">
        <v>104</v>
      </c>
      <c r="K19" s="10" t="s">
        <v>105</v>
      </c>
      <c r="L19" s="10" t="s">
        <v>53</v>
      </c>
    </row>
    <row r="20" customFormat="false" ht="64.5" hidden="false" customHeight="true" outlineLevel="0" collapsed="false">
      <c r="A20" s="8" t="s">
        <v>164</v>
      </c>
      <c r="B20" s="9" t="s">
        <v>165</v>
      </c>
      <c r="C20" s="8" t="s">
        <v>166</v>
      </c>
      <c r="D20" s="10" t="s">
        <v>77</v>
      </c>
      <c r="E20" s="10" t="s">
        <v>71</v>
      </c>
      <c r="F20" s="9" t="s">
        <v>167</v>
      </c>
      <c r="G20" s="9" t="s">
        <v>168</v>
      </c>
      <c r="H20" s="9" t="s">
        <v>150</v>
      </c>
      <c r="I20" s="10" t="n">
        <v>10</v>
      </c>
      <c r="J20" s="10" t="s">
        <v>104</v>
      </c>
      <c r="K20" s="10" t="s">
        <v>105</v>
      </c>
      <c r="L20" s="10" t="s">
        <v>53</v>
      </c>
    </row>
    <row r="21" customFormat="false" ht="64.5" hidden="false" customHeight="true" outlineLevel="0" collapsed="false">
      <c r="A21" s="8" t="s">
        <v>169</v>
      </c>
      <c r="B21" s="9" t="s">
        <v>170</v>
      </c>
      <c r="C21" s="8" t="s">
        <v>171</v>
      </c>
      <c r="D21" s="10" t="s">
        <v>77</v>
      </c>
      <c r="E21" s="10" t="s">
        <v>71</v>
      </c>
      <c r="F21" s="9" t="s">
        <v>172</v>
      </c>
      <c r="G21" s="9" t="s">
        <v>173</v>
      </c>
      <c r="H21" s="9" t="s">
        <v>174</v>
      </c>
      <c r="I21" s="10" t="n">
        <v>5</v>
      </c>
      <c r="J21" s="10" t="s">
        <v>89</v>
      </c>
      <c r="K21" s="10" t="s">
        <v>15</v>
      </c>
      <c r="L21" s="10" t="s">
        <v>53</v>
      </c>
    </row>
    <row r="22" customFormat="false" ht="64.5" hidden="false" customHeight="true" outlineLevel="0" collapsed="false">
      <c r="A22" s="8" t="s">
        <v>175</v>
      </c>
      <c r="B22" s="9" t="s">
        <v>176</v>
      </c>
      <c r="C22" s="8" t="s">
        <v>177</v>
      </c>
      <c r="D22" s="10" t="s">
        <v>77</v>
      </c>
      <c r="E22" s="10" t="s">
        <v>71</v>
      </c>
      <c r="F22" s="9" t="s">
        <v>178</v>
      </c>
      <c r="G22" s="9" t="s">
        <v>179</v>
      </c>
      <c r="H22" s="9" t="s">
        <v>180</v>
      </c>
      <c r="I22" s="10" t="n">
        <v>8</v>
      </c>
      <c r="J22" s="10" t="s">
        <v>181</v>
      </c>
      <c r="K22" s="10" t="s">
        <v>182</v>
      </c>
      <c r="L22" s="10" t="s">
        <v>53</v>
      </c>
    </row>
    <row r="23" customFormat="false" ht="64.5" hidden="false" customHeight="true" outlineLevel="0" collapsed="false">
      <c r="A23" s="8" t="s">
        <v>183</v>
      </c>
      <c r="B23" s="9" t="s">
        <v>184</v>
      </c>
      <c r="C23" s="8" t="s">
        <v>185</v>
      </c>
      <c r="D23" s="10" t="s">
        <v>186</v>
      </c>
      <c r="E23" s="10" t="s">
        <v>47</v>
      </c>
      <c r="F23" s="9" t="s">
        <v>187</v>
      </c>
      <c r="G23" s="9" t="s">
        <v>188</v>
      </c>
      <c r="H23" s="9" t="s">
        <v>189</v>
      </c>
      <c r="I23" s="10" t="n">
        <v>3</v>
      </c>
      <c r="J23" s="10" t="s">
        <v>181</v>
      </c>
      <c r="K23" s="10" t="s">
        <v>182</v>
      </c>
      <c r="L23" s="10" t="s">
        <v>53</v>
      </c>
    </row>
  </sheetData>
  <autoFilter ref="A1:L23"/>
  <conditionalFormatting sqref="D2:D23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L2:L23">
    <cfRule type="cellIs" priority="5" operator="equal" aboveAverage="0" equalAverage="0" bottom="0" percent="0" rank="0" text="" dxfId="9">
      <formula>"Open"</formula>
    </cfRule>
    <cfRule type="cellIs" priority="6" operator="equal" aboveAverage="0" equalAverage="0" bottom="0" percent="0" rank="0" text="" dxfId="8">
      <formula>"In Progress"</formula>
    </cfRule>
    <cfRule type="cellIs" priority="7" operator="equal" aboveAverage="0" equalAverage="0" bottom="0" percent="0" rank="0" text="" dxfId="10">
      <formula>"Closed"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4"/>
  </cols>
  <sheetData>
    <row r="2" customFormat="false" ht="22.05" hidden="false" customHeight="false" outlineLevel="0" collapsed="false">
      <c r="B2" s="2" t="s">
        <v>190</v>
      </c>
    </row>
    <row r="3" customFormat="false" ht="15" hidden="false" customHeight="false" outlineLevel="0" collapsed="false">
      <c r="B3" s="11" t="s">
        <v>191</v>
      </c>
    </row>
    <row r="5" customFormat="false" ht="21.75" hidden="false" customHeight="true" outlineLevel="0" collapsed="false">
      <c r="B5" s="12" t="s">
        <v>192</v>
      </c>
      <c r="C5" s="12"/>
      <c r="D5" s="12"/>
      <c r="E5" s="12"/>
      <c r="F5" s="12"/>
      <c r="G5" s="12"/>
    </row>
    <row r="6" customFormat="false" ht="18" hidden="false" customHeight="true" outlineLevel="0" collapsed="false">
      <c r="B6" s="13" t="s">
        <v>193</v>
      </c>
      <c r="C6" s="13"/>
      <c r="D6" s="13"/>
      <c r="E6" s="13"/>
      <c r="F6" s="13"/>
      <c r="G6" s="13"/>
    </row>
    <row r="7" customFormat="false" ht="24" hidden="false" customHeight="true" outlineLevel="0" collapsed="false">
      <c r="B7" s="7" t="s">
        <v>194</v>
      </c>
      <c r="C7" s="7" t="s">
        <v>195</v>
      </c>
      <c r="D7" s="7" t="s">
        <v>34</v>
      </c>
      <c r="E7" s="7" t="s">
        <v>38</v>
      </c>
      <c r="F7" s="7" t="s">
        <v>196</v>
      </c>
      <c r="G7" s="7" t="s">
        <v>41</v>
      </c>
    </row>
    <row r="8" customFormat="false" ht="31.5" hidden="false" customHeight="true" outlineLevel="0" collapsed="false">
      <c r="B8" s="8" t="s">
        <v>43</v>
      </c>
      <c r="C8" s="9" t="s">
        <v>45</v>
      </c>
      <c r="D8" s="14" t="s">
        <v>46</v>
      </c>
      <c r="E8" s="9" t="s">
        <v>50</v>
      </c>
      <c r="F8" s="10" t="n">
        <v>5</v>
      </c>
      <c r="G8" s="10" t="s">
        <v>52</v>
      </c>
    </row>
    <row r="9" customFormat="false" ht="31.5" hidden="false" customHeight="true" outlineLevel="0" collapsed="false">
      <c r="B9" s="8" t="s">
        <v>54</v>
      </c>
      <c r="C9" s="9" t="s">
        <v>56</v>
      </c>
      <c r="D9" s="14" t="s">
        <v>46</v>
      </c>
      <c r="E9" s="9" t="s">
        <v>60</v>
      </c>
      <c r="F9" s="10" t="n">
        <v>8</v>
      </c>
      <c r="G9" s="10" t="s">
        <v>52</v>
      </c>
    </row>
    <row r="10" customFormat="false" ht="31.5" hidden="false" customHeight="true" outlineLevel="0" collapsed="false">
      <c r="B10" s="8" t="s">
        <v>61</v>
      </c>
      <c r="C10" s="9" t="s">
        <v>63</v>
      </c>
      <c r="D10" s="14" t="s">
        <v>46</v>
      </c>
      <c r="E10" s="9" t="s">
        <v>67</v>
      </c>
      <c r="F10" s="10" t="n">
        <v>10</v>
      </c>
      <c r="G10" s="10" t="s">
        <v>52</v>
      </c>
    </row>
    <row r="11" customFormat="false" ht="31.5" hidden="false" customHeight="true" outlineLevel="0" collapsed="false">
      <c r="B11" s="8" t="s">
        <v>68</v>
      </c>
      <c r="C11" s="9" t="s">
        <v>70</v>
      </c>
      <c r="D11" s="14" t="s">
        <v>46</v>
      </c>
      <c r="E11" s="9" t="s">
        <v>50</v>
      </c>
      <c r="F11" s="10" t="n">
        <v>6</v>
      </c>
      <c r="G11" s="10" t="s">
        <v>52</v>
      </c>
    </row>
    <row r="12" customFormat="false" ht="31.5" hidden="false" customHeight="true" outlineLevel="0" collapsed="false">
      <c r="B12" s="8" t="s">
        <v>129</v>
      </c>
      <c r="C12" s="9" t="s">
        <v>131</v>
      </c>
      <c r="D12" s="15" t="s">
        <v>77</v>
      </c>
      <c r="E12" s="9" t="s">
        <v>123</v>
      </c>
      <c r="F12" s="10" t="n">
        <v>8</v>
      </c>
      <c r="G12" s="10" t="s">
        <v>52</v>
      </c>
    </row>
    <row r="13" customFormat="false" ht="31.5" hidden="false" customHeight="true" outlineLevel="0" collapsed="false">
      <c r="B13" s="8" t="s">
        <v>135</v>
      </c>
      <c r="C13" s="9" t="s">
        <v>137</v>
      </c>
      <c r="D13" s="15" t="s">
        <v>77</v>
      </c>
      <c r="E13" s="9" t="s">
        <v>50</v>
      </c>
      <c r="F13" s="10" t="n">
        <v>4</v>
      </c>
      <c r="G13" s="10" t="s">
        <v>52</v>
      </c>
    </row>
    <row r="14" customFormat="false" ht="19.5" hidden="false" customHeight="true" outlineLevel="0" collapsed="false">
      <c r="B14" s="16" t="s">
        <v>197</v>
      </c>
      <c r="C14" s="16"/>
      <c r="D14" s="16"/>
      <c r="E14" s="16"/>
      <c r="F14" s="16"/>
      <c r="G14" s="16"/>
    </row>
    <row r="16" customFormat="false" ht="21.75" hidden="false" customHeight="true" outlineLevel="0" collapsed="false">
      <c r="B16" s="12" t="s">
        <v>198</v>
      </c>
      <c r="C16" s="12"/>
      <c r="D16" s="12"/>
      <c r="E16" s="12"/>
      <c r="F16" s="12"/>
      <c r="G16" s="12"/>
    </row>
    <row r="17" customFormat="false" ht="18" hidden="false" customHeight="true" outlineLevel="0" collapsed="false">
      <c r="B17" s="13" t="s">
        <v>199</v>
      </c>
      <c r="C17" s="13"/>
      <c r="D17" s="13"/>
      <c r="E17" s="13"/>
      <c r="F17" s="13"/>
      <c r="G17" s="13"/>
    </row>
    <row r="18" customFormat="false" ht="24" hidden="false" customHeight="true" outlineLevel="0" collapsed="false">
      <c r="B18" s="7" t="s">
        <v>194</v>
      </c>
      <c r="C18" s="7" t="s">
        <v>195</v>
      </c>
      <c r="D18" s="7" t="s">
        <v>34</v>
      </c>
      <c r="E18" s="7" t="s">
        <v>38</v>
      </c>
      <c r="F18" s="7" t="s">
        <v>196</v>
      </c>
      <c r="G18" s="7" t="s">
        <v>41</v>
      </c>
    </row>
    <row r="19" customFormat="false" ht="31.5" hidden="false" customHeight="true" outlineLevel="0" collapsed="false">
      <c r="B19" s="8" t="s">
        <v>74</v>
      </c>
      <c r="C19" s="9" t="s">
        <v>76</v>
      </c>
      <c r="D19" s="15" t="s">
        <v>77</v>
      </c>
      <c r="E19" s="9" t="s">
        <v>80</v>
      </c>
      <c r="F19" s="10" t="n">
        <v>4</v>
      </c>
      <c r="G19" s="10" t="s">
        <v>82</v>
      </c>
    </row>
    <row r="20" customFormat="false" ht="31.5" hidden="false" customHeight="true" outlineLevel="0" collapsed="false">
      <c r="B20" s="8" t="s">
        <v>90</v>
      </c>
      <c r="C20" s="9" t="s">
        <v>92</v>
      </c>
      <c r="D20" s="15" t="s">
        <v>77</v>
      </c>
      <c r="E20" s="9" t="s">
        <v>96</v>
      </c>
      <c r="F20" s="10" t="n">
        <v>6</v>
      </c>
      <c r="G20" s="10" t="s">
        <v>82</v>
      </c>
    </row>
    <row r="21" customFormat="false" ht="31.5" hidden="false" customHeight="true" outlineLevel="0" collapsed="false">
      <c r="B21" s="8" t="s">
        <v>106</v>
      </c>
      <c r="C21" s="9" t="s">
        <v>108</v>
      </c>
      <c r="D21" s="15" t="s">
        <v>77</v>
      </c>
      <c r="E21" s="9" t="s">
        <v>50</v>
      </c>
      <c r="F21" s="10" t="n">
        <v>10</v>
      </c>
      <c r="G21" s="10" t="s">
        <v>82</v>
      </c>
    </row>
    <row r="22" customFormat="false" ht="31.5" hidden="false" customHeight="true" outlineLevel="0" collapsed="false">
      <c r="B22" s="8" t="s">
        <v>145</v>
      </c>
      <c r="C22" s="9" t="s">
        <v>147</v>
      </c>
      <c r="D22" s="15" t="s">
        <v>77</v>
      </c>
      <c r="E22" s="9" t="s">
        <v>150</v>
      </c>
      <c r="F22" s="10" t="n">
        <v>6</v>
      </c>
      <c r="G22" s="10" t="s">
        <v>82</v>
      </c>
    </row>
    <row r="23" customFormat="false" ht="31.5" hidden="false" customHeight="true" outlineLevel="0" collapsed="false">
      <c r="B23" s="8" t="s">
        <v>151</v>
      </c>
      <c r="C23" s="9" t="s">
        <v>153</v>
      </c>
      <c r="D23" s="15" t="s">
        <v>77</v>
      </c>
      <c r="E23" s="9" t="s">
        <v>157</v>
      </c>
      <c r="F23" s="10" t="n">
        <v>4</v>
      </c>
      <c r="G23" s="10" t="s">
        <v>82</v>
      </c>
    </row>
    <row r="24" customFormat="false" ht="19.5" hidden="false" customHeight="true" outlineLevel="0" collapsed="false">
      <c r="B24" s="16" t="s">
        <v>200</v>
      </c>
      <c r="C24" s="16"/>
      <c r="D24" s="16"/>
      <c r="E24" s="16"/>
      <c r="F24" s="16"/>
      <c r="G24" s="16"/>
    </row>
    <row r="26" customFormat="false" ht="21.75" hidden="false" customHeight="true" outlineLevel="0" collapsed="false">
      <c r="B26" s="12" t="s">
        <v>201</v>
      </c>
      <c r="C26" s="12"/>
      <c r="D26" s="12"/>
      <c r="E26" s="12"/>
      <c r="F26" s="12"/>
      <c r="G26" s="12"/>
    </row>
    <row r="27" customFormat="false" ht="18" hidden="false" customHeight="true" outlineLevel="0" collapsed="false">
      <c r="B27" s="13" t="s">
        <v>202</v>
      </c>
      <c r="C27" s="13"/>
      <c r="D27" s="13"/>
      <c r="E27" s="13"/>
      <c r="F27" s="13"/>
      <c r="G27" s="13"/>
    </row>
    <row r="28" customFormat="false" ht="24" hidden="false" customHeight="true" outlineLevel="0" collapsed="false">
      <c r="B28" s="7" t="s">
        <v>194</v>
      </c>
      <c r="C28" s="7" t="s">
        <v>195</v>
      </c>
      <c r="D28" s="7" t="s">
        <v>34</v>
      </c>
      <c r="E28" s="7" t="s">
        <v>38</v>
      </c>
      <c r="F28" s="7" t="s">
        <v>196</v>
      </c>
      <c r="G28" s="7" t="s">
        <v>41</v>
      </c>
    </row>
    <row r="29" customFormat="false" ht="31.5" hidden="false" customHeight="true" outlineLevel="0" collapsed="false">
      <c r="B29" s="8" t="s">
        <v>83</v>
      </c>
      <c r="C29" s="9" t="s">
        <v>85</v>
      </c>
      <c r="D29" s="15" t="s">
        <v>77</v>
      </c>
      <c r="E29" s="9" t="s">
        <v>88</v>
      </c>
      <c r="F29" s="10" t="n">
        <v>12</v>
      </c>
      <c r="G29" s="10" t="s">
        <v>15</v>
      </c>
    </row>
    <row r="30" customFormat="false" ht="31.5" hidden="false" customHeight="true" outlineLevel="0" collapsed="false">
      <c r="B30" s="8" t="s">
        <v>112</v>
      </c>
      <c r="C30" s="9" t="s">
        <v>114</v>
      </c>
      <c r="D30" s="15" t="s">
        <v>77</v>
      </c>
      <c r="E30" s="9" t="s">
        <v>117</v>
      </c>
      <c r="F30" s="10" t="n">
        <v>5</v>
      </c>
      <c r="G30" s="10" t="s">
        <v>15</v>
      </c>
    </row>
    <row r="31" customFormat="false" ht="31.5" hidden="false" customHeight="true" outlineLevel="0" collapsed="false">
      <c r="B31" s="8" t="s">
        <v>124</v>
      </c>
      <c r="C31" s="9" t="s">
        <v>126</v>
      </c>
      <c r="D31" s="15" t="s">
        <v>77</v>
      </c>
      <c r="E31" s="9" t="s">
        <v>123</v>
      </c>
      <c r="F31" s="10" t="n">
        <v>7</v>
      </c>
      <c r="G31" s="10" t="s">
        <v>15</v>
      </c>
    </row>
    <row r="32" customFormat="false" ht="31.5" hidden="false" customHeight="true" outlineLevel="0" collapsed="false">
      <c r="B32" s="8" t="s">
        <v>140</v>
      </c>
      <c r="C32" s="9" t="s">
        <v>142</v>
      </c>
      <c r="D32" s="15" t="s">
        <v>77</v>
      </c>
      <c r="E32" s="9" t="s">
        <v>88</v>
      </c>
      <c r="F32" s="10" t="n">
        <v>5</v>
      </c>
      <c r="G32" s="10" t="s">
        <v>15</v>
      </c>
    </row>
    <row r="33" customFormat="false" ht="31.5" hidden="false" customHeight="true" outlineLevel="0" collapsed="false">
      <c r="B33" s="8" t="s">
        <v>169</v>
      </c>
      <c r="C33" s="9" t="s">
        <v>171</v>
      </c>
      <c r="D33" s="15" t="s">
        <v>77</v>
      </c>
      <c r="E33" s="9" t="s">
        <v>174</v>
      </c>
      <c r="F33" s="10" t="n">
        <v>5</v>
      </c>
      <c r="G33" s="10" t="s">
        <v>15</v>
      </c>
    </row>
    <row r="34" customFormat="false" ht="19.5" hidden="false" customHeight="true" outlineLevel="0" collapsed="false">
      <c r="B34" s="16" t="s">
        <v>203</v>
      </c>
      <c r="C34" s="16"/>
      <c r="D34" s="16"/>
      <c r="E34" s="16"/>
      <c r="F34" s="16"/>
      <c r="G34" s="16"/>
    </row>
    <row r="36" customFormat="false" ht="21.75" hidden="false" customHeight="true" outlineLevel="0" collapsed="false">
      <c r="B36" s="12" t="s">
        <v>204</v>
      </c>
      <c r="C36" s="12"/>
      <c r="D36" s="12"/>
      <c r="E36" s="12"/>
      <c r="F36" s="12"/>
      <c r="G36" s="12"/>
    </row>
    <row r="37" customFormat="false" ht="18" hidden="false" customHeight="true" outlineLevel="0" collapsed="false">
      <c r="B37" s="13" t="s">
        <v>205</v>
      </c>
      <c r="C37" s="13"/>
      <c r="D37" s="13"/>
      <c r="E37" s="13"/>
      <c r="F37" s="13"/>
      <c r="G37" s="13"/>
    </row>
    <row r="38" customFormat="false" ht="24" hidden="false" customHeight="true" outlineLevel="0" collapsed="false">
      <c r="B38" s="7" t="s">
        <v>194</v>
      </c>
      <c r="C38" s="7" t="s">
        <v>195</v>
      </c>
      <c r="D38" s="7" t="s">
        <v>34</v>
      </c>
      <c r="E38" s="7" t="s">
        <v>38</v>
      </c>
      <c r="F38" s="7" t="s">
        <v>196</v>
      </c>
      <c r="G38" s="7" t="s">
        <v>41</v>
      </c>
    </row>
    <row r="39" customFormat="false" ht="31.5" hidden="false" customHeight="true" outlineLevel="0" collapsed="false">
      <c r="B39" s="8" t="s">
        <v>97</v>
      </c>
      <c r="C39" s="9" t="s">
        <v>99</v>
      </c>
      <c r="D39" s="15" t="s">
        <v>77</v>
      </c>
      <c r="E39" s="9" t="s">
        <v>103</v>
      </c>
      <c r="F39" s="10" t="n">
        <v>8</v>
      </c>
      <c r="G39" s="10" t="s">
        <v>105</v>
      </c>
    </row>
    <row r="40" customFormat="false" ht="31.5" hidden="false" customHeight="true" outlineLevel="0" collapsed="false">
      <c r="B40" s="8" t="s">
        <v>118</v>
      </c>
      <c r="C40" s="9" t="s">
        <v>120</v>
      </c>
      <c r="D40" s="15" t="s">
        <v>77</v>
      </c>
      <c r="E40" s="9" t="s">
        <v>123</v>
      </c>
      <c r="F40" s="10" t="n">
        <v>15</v>
      </c>
      <c r="G40" s="10" t="s">
        <v>105</v>
      </c>
    </row>
    <row r="41" customFormat="false" ht="31.5" hidden="false" customHeight="true" outlineLevel="0" collapsed="false">
      <c r="B41" s="8" t="s">
        <v>158</v>
      </c>
      <c r="C41" s="9" t="s">
        <v>160</v>
      </c>
      <c r="D41" s="15" t="s">
        <v>77</v>
      </c>
      <c r="E41" s="9" t="s">
        <v>163</v>
      </c>
      <c r="F41" s="10" t="n">
        <v>6</v>
      </c>
      <c r="G41" s="10" t="s">
        <v>105</v>
      </c>
    </row>
    <row r="42" customFormat="false" ht="31.5" hidden="false" customHeight="true" outlineLevel="0" collapsed="false">
      <c r="B42" s="8" t="s">
        <v>164</v>
      </c>
      <c r="C42" s="9" t="s">
        <v>166</v>
      </c>
      <c r="D42" s="15" t="s">
        <v>77</v>
      </c>
      <c r="E42" s="9" t="s">
        <v>150</v>
      </c>
      <c r="F42" s="10" t="n">
        <v>10</v>
      </c>
      <c r="G42" s="10" t="s">
        <v>105</v>
      </c>
    </row>
    <row r="43" customFormat="false" ht="19.5" hidden="false" customHeight="true" outlineLevel="0" collapsed="false">
      <c r="B43" s="16" t="s">
        <v>206</v>
      </c>
      <c r="C43" s="16"/>
      <c r="D43" s="16"/>
      <c r="E43" s="16"/>
      <c r="F43" s="16"/>
      <c r="G43" s="16"/>
    </row>
    <row r="45" customFormat="false" ht="21.75" hidden="false" customHeight="true" outlineLevel="0" collapsed="false">
      <c r="B45" s="12" t="s">
        <v>207</v>
      </c>
      <c r="C45" s="12"/>
      <c r="D45" s="12"/>
      <c r="E45" s="12"/>
      <c r="F45" s="12"/>
      <c r="G45" s="12"/>
    </row>
    <row r="46" customFormat="false" ht="18" hidden="false" customHeight="true" outlineLevel="0" collapsed="false">
      <c r="B46" s="13" t="s">
        <v>208</v>
      </c>
      <c r="C46" s="13"/>
      <c r="D46" s="13"/>
      <c r="E46" s="13"/>
      <c r="F46" s="13"/>
      <c r="G46" s="13"/>
    </row>
    <row r="47" customFormat="false" ht="24" hidden="false" customHeight="true" outlineLevel="0" collapsed="false">
      <c r="B47" s="7" t="s">
        <v>194</v>
      </c>
      <c r="C47" s="7" t="s">
        <v>195</v>
      </c>
      <c r="D47" s="7" t="s">
        <v>34</v>
      </c>
      <c r="E47" s="7" t="s">
        <v>38</v>
      </c>
      <c r="F47" s="7" t="s">
        <v>196</v>
      </c>
      <c r="G47" s="7" t="s">
        <v>41</v>
      </c>
    </row>
    <row r="48" customFormat="false" ht="31.5" hidden="false" customHeight="true" outlineLevel="0" collapsed="false">
      <c r="B48" s="8" t="s">
        <v>175</v>
      </c>
      <c r="C48" s="9" t="s">
        <v>177</v>
      </c>
      <c r="D48" s="15" t="s">
        <v>77</v>
      </c>
      <c r="E48" s="9" t="s">
        <v>180</v>
      </c>
      <c r="F48" s="10" t="n">
        <v>8</v>
      </c>
      <c r="G48" s="10" t="s">
        <v>182</v>
      </c>
    </row>
    <row r="49" customFormat="false" ht="31.5" hidden="false" customHeight="true" outlineLevel="0" collapsed="false">
      <c r="B49" s="8" t="s">
        <v>183</v>
      </c>
      <c r="C49" s="9" t="s">
        <v>185</v>
      </c>
      <c r="D49" s="17" t="s">
        <v>186</v>
      </c>
      <c r="E49" s="9" t="s">
        <v>189</v>
      </c>
      <c r="F49" s="10" t="n">
        <v>3</v>
      </c>
      <c r="G49" s="10" t="s">
        <v>182</v>
      </c>
    </row>
    <row r="50" customFormat="false" ht="19.5" hidden="false" customHeight="true" outlineLevel="0" collapsed="false">
      <c r="B50" s="16" t="s">
        <v>209</v>
      </c>
      <c r="C50" s="16"/>
      <c r="D50" s="16"/>
      <c r="E50" s="16"/>
      <c r="F50" s="16"/>
      <c r="G50" s="16"/>
    </row>
    <row r="52" customFormat="false" ht="21.75" hidden="false" customHeight="true" outlineLevel="0" collapsed="false">
      <c r="B52" s="12" t="s">
        <v>210</v>
      </c>
      <c r="C52" s="12"/>
      <c r="D52" s="12"/>
      <c r="E52" s="12"/>
      <c r="F52" s="12"/>
      <c r="G52" s="12"/>
    </row>
    <row r="53" customFormat="false" ht="18" hidden="false" customHeight="true" outlineLevel="0" collapsed="false">
      <c r="B53" s="13" t="s">
        <v>211</v>
      </c>
      <c r="C53" s="13"/>
      <c r="D53" s="13"/>
      <c r="E53" s="13"/>
      <c r="F53" s="13"/>
      <c r="G53" s="13"/>
    </row>
    <row r="54" customFormat="false" ht="24" hidden="false" customHeight="true" outlineLevel="0" collapsed="false">
      <c r="B54" s="7" t="s">
        <v>194</v>
      </c>
      <c r="C54" s="7" t="s">
        <v>195</v>
      </c>
      <c r="D54" s="7" t="s">
        <v>34</v>
      </c>
      <c r="E54" s="7" t="s">
        <v>38</v>
      </c>
      <c r="F54" s="7" t="s">
        <v>196</v>
      </c>
      <c r="G54" s="7" t="s">
        <v>41</v>
      </c>
    </row>
    <row r="55" customFormat="false" ht="15" hidden="false" customHeight="true" outlineLevel="0" collapsed="false">
      <c r="B55" s="18" t="s">
        <v>212</v>
      </c>
      <c r="C55" s="18"/>
      <c r="D55" s="18"/>
      <c r="E55" s="18"/>
      <c r="F55" s="18"/>
      <c r="G55" s="18"/>
    </row>
    <row r="56" customFormat="false" ht="19.5" hidden="false" customHeight="true" outlineLevel="0" collapsed="false">
      <c r="B56" s="16" t="s">
        <v>213</v>
      </c>
      <c r="C56" s="16"/>
      <c r="D56" s="16"/>
      <c r="E56" s="16"/>
      <c r="F56" s="16"/>
      <c r="G56" s="16"/>
    </row>
  </sheetData>
  <mergeCells count="19">
    <mergeCell ref="B5:G5"/>
    <mergeCell ref="B6:G6"/>
    <mergeCell ref="B14:G14"/>
    <mergeCell ref="B16:G16"/>
    <mergeCell ref="B17:G17"/>
    <mergeCell ref="B24:G24"/>
    <mergeCell ref="B26:G26"/>
    <mergeCell ref="B27:G27"/>
    <mergeCell ref="B34:G34"/>
    <mergeCell ref="B36:G36"/>
    <mergeCell ref="B37:G37"/>
    <mergeCell ref="B43:G43"/>
    <mergeCell ref="B45:G45"/>
    <mergeCell ref="B46:G46"/>
    <mergeCell ref="B50:G50"/>
    <mergeCell ref="B52:G52"/>
    <mergeCell ref="B53:G53"/>
    <mergeCell ref="B55:G55"/>
    <mergeCell ref="B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4"/>
  </cols>
  <sheetData>
    <row r="2" customFormat="false" ht="22.05" hidden="false" customHeight="false" outlineLevel="0" collapsed="false">
      <c r="B2" s="2" t="s">
        <v>214</v>
      </c>
    </row>
    <row r="4" customFormat="false" ht="16.15" hidden="false" customHeight="false" outlineLevel="0" collapsed="false">
      <c r="B4" s="19" t="s">
        <v>215</v>
      </c>
    </row>
    <row r="5" customFormat="false" ht="27.75" hidden="false" customHeight="true" outlineLevel="0" collapsed="false">
      <c r="B5" s="7" t="s">
        <v>34</v>
      </c>
      <c r="C5" s="7" t="s">
        <v>216</v>
      </c>
      <c r="D5" s="7" t="s">
        <v>217</v>
      </c>
      <c r="E5" s="7" t="s">
        <v>218</v>
      </c>
    </row>
    <row r="6" customFormat="false" ht="15" hidden="false" customHeight="false" outlineLevel="0" collapsed="false">
      <c r="B6" s="20" t="s">
        <v>46</v>
      </c>
      <c r="C6" s="21" t="n">
        <f aca="false">COUNTIF('Findings Register'!D2:D23,"High")</f>
        <v>4</v>
      </c>
      <c r="D6" s="21" t="n">
        <f aca="false">SUMIF('Findings Register'!D2:D23,"High",'Findings Register'!I2:I23)</f>
        <v>29</v>
      </c>
      <c r="E6" s="22" t="n">
        <f aca="false">IFERROR(D6/C6,0)</f>
        <v>7.25</v>
      </c>
    </row>
    <row r="7" customFormat="false" ht="15" hidden="false" customHeight="false" outlineLevel="0" collapsed="false">
      <c r="B7" s="23" t="s">
        <v>77</v>
      </c>
      <c r="C7" s="21" t="n">
        <f aca="false">COUNTIF('Findings Register'!D2:D23,"Medium")</f>
        <v>17</v>
      </c>
      <c r="D7" s="21" t="n">
        <f aca="false">SUMIF('Findings Register'!D2:D23,"Medium",'Findings Register'!I2:I23)</f>
        <v>123</v>
      </c>
      <c r="E7" s="22" t="n">
        <f aca="false">IFERROR(D7/C7,0)</f>
        <v>7.23529411764706</v>
      </c>
    </row>
    <row r="8" customFormat="false" ht="15" hidden="false" customHeight="false" outlineLevel="0" collapsed="false">
      <c r="B8" s="24" t="s">
        <v>186</v>
      </c>
      <c r="C8" s="21" t="n">
        <f aca="false">COUNTIF('Findings Register'!D2:D23,"Low")</f>
        <v>1</v>
      </c>
      <c r="D8" s="21" t="n">
        <f aca="false">SUMIF('Findings Register'!D2:D23,"Low",'Findings Register'!I2:I23)</f>
        <v>3</v>
      </c>
      <c r="E8" s="22" t="n">
        <f aca="false">IFERROR(D8/C8,0)</f>
        <v>3</v>
      </c>
    </row>
    <row r="9" customFormat="false" ht="15" hidden="false" customHeight="false" outlineLevel="0" collapsed="false">
      <c r="B9" s="25" t="s">
        <v>219</v>
      </c>
      <c r="C9" s="26" t="n">
        <f aca="false">SUM(C6:C8)</f>
        <v>22</v>
      </c>
      <c r="D9" s="26" t="n">
        <f aca="false">SUM(D6:D8)</f>
        <v>155</v>
      </c>
      <c r="E9" s="27" t="n">
        <f aca="false">IFERROR(D9/C9,0)</f>
        <v>7.04545454545455</v>
      </c>
    </row>
    <row r="12" customFormat="false" ht="16.15" hidden="false" customHeight="false" outlineLevel="0" collapsed="false">
      <c r="B12" s="19" t="s">
        <v>220</v>
      </c>
    </row>
    <row r="13" customFormat="false" ht="27.75" hidden="false" customHeight="true" outlineLevel="0" collapsed="false">
      <c r="B13" s="7" t="s">
        <v>40</v>
      </c>
      <c r="C13" s="7" t="s">
        <v>216</v>
      </c>
      <c r="D13" s="7" t="s">
        <v>217</v>
      </c>
    </row>
    <row r="14" customFormat="false" ht="15" hidden="false" customHeight="false" outlineLevel="0" collapsed="false">
      <c r="B14" s="8" t="s">
        <v>51</v>
      </c>
      <c r="C14" s="28" t="n">
        <f aca="false">COUNTIF('Findings Register'!J2:J23,"Sprint 1")</f>
        <v>6</v>
      </c>
      <c r="D14" s="28" t="n">
        <f aca="false">SUMIF('Findings Register'!J2:J23,"Sprint 1",'Findings Register'!I2:I23)</f>
        <v>41</v>
      </c>
    </row>
    <row r="15" customFormat="false" ht="15" hidden="false" customHeight="false" outlineLevel="0" collapsed="false">
      <c r="B15" s="8" t="s">
        <v>81</v>
      </c>
      <c r="C15" s="28" t="n">
        <f aca="false">COUNTIF('Findings Register'!J2:J23,"Sprint 2")</f>
        <v>5</v>
      </c>
      <c r="D15" s="28" t="n">
        <f aca="false">SUMIF('Findings Register'!J2:J23,"Sprint 2",'Findings Register'!I2:I23)</f>
        <v>30</v>
      </c>
    </row>
    <row r="16" customFormat="false" ht="15" hidden="false" customHeight="false" outlineLevel="0" collapsed="false">
      <c r="B16" s="8" t="s">
        <v>89</v>
      </c>
      <c r="C16" s="28" t="n">
        <f aca="false">COUNTIF('Findings Register'!J2:J23,"Sprint 3")</f>
        <v>5</v>
      </c>
      <c r="D16" s="28" t="n">
        <f aca="false">SUMIF('Findings Register'!J2:J23,"Sprint 3",'Findings Register'!I2:I23)</f>
        <v>34</v>
      </c>
    </row>
    <row r="17" customFormat="false" ht="15" hidden="false" customHeight="false" outlineLevel="0" collapsed="false">
      <c r="B17" s="8" t="s">
        <v>104</v>
      </c>
      <c r="C17" s="28" t="n">
        <f aca="false">COUNTIF('Findings Register'!J2:J23,"Sprint 4")</f>
        <v>4</v>
      </c>
      <c r="D17" s="28" t="n">
        <f aca="false">SUMIF('Findings Register'!J2:J23,"Sprint 4",'Findings Register'!I2:I23)</f>
        <v>39</v>
      </c>
    </row>
    <row r="18" customFormat="false" ht="15" hidden="false" customHeight="false" outlineLevel="0" collapsed="false">
      <c r="B18" s="8" t="s">
        <v>181</v>
      </c>
      <c r="C18" s="28" t="n">
        <f aca="false">COUNTIF('Findings Register'!J2:J23,"Sprint 5")</f>
        <v>2</v>
      </c>
      <c r="D18" s="28" t="n">
        <f aca="false">SUMIF('Findings Register'!J2:J23,"Sprint 5",'Findings Register'!I2:I23)</f>
        <v>11</v>
      </c>
    </row>
    <row r="19" customFormat="false" ht="15" hidden="false" customHeight="false" outlineLevel="0" collapsed="false">
      <c r="B19" s="8" t="s">
        <v>221</v>
      </c>
      <c r="C19" s="28" t="n">
        <f aca="false">COUNTIF('Findings Register'!J2:J23,"Sprint 6")</f>
        <v>0</v>
      </c>
      <c r="D19" s="28" t="n">
        <f aca="false">SUMIF('Findings Register'!J2:J23,"Sprint 6",'Findings Register'!I2:I23)</f>
        <v>0</v>
      </c>
    </row>
    <row r="20" customFormat="false" ht="15" hidden="false" customHeight="false" outlineLevel="0" collapsed="false">
      <c r="B20" s="25" t="s">
        <v>219</v>
      </c>
      <c r="C20" s="26" t="n">
        <f aca="false">SUM(C14:C19)</f>
        <v>22</v>
      </c>
      <c r="D20" s="26" t="n">
        <f aca="false">SUM(D14:D19)</f>
        <v>155</v>
      </c>
    </row>
    <row r="23" customFormat="false" ht="16.15" hidden="false" customHeight="false" outlineLevel="0" collapsed="false">
      <c r="B23" s="19" t="s">
        <v>222</v>
      </c>
    </row>
    <row r="24" customFormat="false" ht="27.75" hidden="false" customHeight="true" outlineLevel="0" collapsed="false">
      <c r="B24" s="7" t="s">
        <v>38</v>
      </c>
      <c r="C24" s="7" t="s">
        <v>216</v>
      </c>
      <c r="D24" s="7" t="s">
        <v>217</v>
      </c>
    </row>
    <row r="25" customFormat="false" ht="15" hidden="false" customHeight="false" outlineLevel="0" collapsed="false">
      <c r="B25" s="8" t="s">
        <v>123</v>
      </c>
      <c r="C25" s="21" t="n">
        <f aca="false">COUNTIF('Findings Register'!H2:H23,"Security Engineering")</f>
        <v>3</v>
      </c>
      <c r="D25" s="21" t="n">
        <f aca="false">SUMIF('Findings Register'!H2:H23,"Security Engineering",'Findings Register'!I2:I23)</f>
        <v>30</v>
      </c>
    </row>
    <row r="26" customFormat="false" ht="15" hidden="false" customHeight="false" outlineLevel="0" collapsed="false">
      <c r="B26" s="8" t="s">
        <v>50</v>
      </c>
      <c r="C26" s="21" t="n">
        <f aca="false">COUNTIF('Findings Register'!H2:H23,"CISO")</f>
        <v>4</v>
      </c>
      <c r="D26" s="21" t="n">
        <f aca="false">SUMIF('Findings Register'!H2:H23,"CISO",'Findings Register'!I2:I23)</f>
        <v>25</v>
      </c>
    </row>
    <row r="27" customFormat="false" ht="15" hidden="false" customHeight="false" outlineLevel="0" collapsed="false">
      <c r="B27" s="8" t="s">
        <v>88</v>
      </c>
      <c r="C27" s="21" t="n">
        <f aca="false">COUNTIF('Findings Register'!H2:H23,"CISO / Marketing")</f>
        <v>2</v>
      </c>
      <c r="D27" s="21" t="n">
        <f aca="false">SUMIF('Findings Register'!H2:H23,"CISO / Marketing",'Findings Register'!I2:I23)</f>
        <v>17</v>
      </c>
    </row>
    <row r="28" customFormat="false" ht="15" hidden="false" customHeight="false" outlineLevel="0" collapsed="false">
      <c r="B28" s="8" t="s">
        <v>150</v>
      </c>
      <c r="C28" s="21" t="n">
        <f aca="false">COUNTIF('Findings Register'!H2:H23,"Platform Engineering")</f>
        <v>2</v>
      </c>
      <c r="D28" s="21" t="n">
        <f aca="false">SUMIF('Findings Register'!H2:H23,"Platform Engineering",'Findings Register'!I2:I23)</f>
        <v>16</v>
      </c>
    </row>
    <row r="29" customFormat="false" ht="15" hidden="false" customHeight="false" outlineLevel="0" collapsed="false">
      <c r="B29" s="8" t="s">
        <v>67</v>
      </c>
      <c r="C29" s="21" t="n">
        <f aca="false">COUNTIF('Findings Register'!H2:H23,"CISO / People &amp; Culture")</f>
        <v>1</v>
      </c>
      <c r="D29" s="21" t="n">
        <f aca="false">SUMIF('Findings Register'!H2:H23,"CISO / People &amp; Culture",'Findings Register'!I2:I23)</f>
        <v>10</v>
      </c>
    </row>
    <row r="30" customFormat="false" ht="15" hidden="false" customHeight="false" outlineLevel="0" collapsed="false">
      <c r="B30" s="8" t="s">
        <v>60</v>
      </c>
      <c r="C30" s="21" t="n">
        <f aca="false">COUNTIF('Findings Register'!H2:H23,"CISO / General Counsel")</f>
        <v>1</v>
      </c>
      <c r="D30" s="21" t="n">
        <f aca="false">SUMIF('Findings Register'!H2:H23,"CISO / General Counsel",'Findings Register'!I2:I23)</f>
        <v>8</v>
      </c>
    </row>
    <row r="31" customFormat="false" ht="15" hidden="false" customHeight="false" outlineLevel="0" collapsed="false">
      <c r="B31" s="8" t="s">
        <v>103</v>
      </c>
      <c r="C31" s="21" t="n">
        <f aca="false">COUNTIF('Findings Register'!H2:H23,"CISO / Audit Committee")</f>
        <v>1</v>
      </c>
      <c r="D31" s="21" t="n">
        <f aca="false">SUMIF('Findings Register'!H2:H23,"CISO / Audit Committee",'Findings Register'!I2:I23)</f>
        <v>8</v>
      </c>
    </row>
    <row r="32" customFormat="false" ht="15" hidden="false" customHeight="false" outlineLevel="0" collapsed="false">
      <c r="B32" s="8" t="s">
        <v>180</v>
      </c>
      <c r="C32" s="21" t="n">
        <f aca="false">COUNTIF('Findings Register'!H2:H23,"CISO / Platform Engineering")</f>
        <v>1</v>
      </c>
      <c r="D32" s="21" t="n">
        <f aca="false">SUMIF('Findings Register'!H2:H23,"CISO / Platform Engineering",'Findings Register'!I2:I23)</f>
        <v>8</v>
      </c>
    </row>
    <row r="33" customFormat="false" ht="15" hidden="false" customHeight="false" outlineLevel="0" collapsed="false">
      <c r="B33" s="8" t="s">
        <v>96</v>
      </c>
      <c r="C33" s="21" t="n">
        <f aca="false">COUNTIF('Findings Register'!H2:H23,"CFO / CISO")</f>
        <v>1</v>
      </c>
      <c r="D33" s="21" t="n">
        <f aca="false">SUMIF('Findings Register'!H2:H23,"CFO / CISO",'Findings Register'!I2:I23)</f>
        <v>6</v>
      </c>
    </row>
    <row r="34" customFormat="false" ht="15" hidden="false" customHeight="false" outlineLevel="0" collapsed="false">
      <c r="B34" s="8" t="s">
        <v>163</v>
      </c>
      <c r="C34" s="21" t="n">
        <f aca="false">COUNTIF('Findings Register'!H2:H23,"COO / CISO")</f>
        <v>1</v>
      </c>
      <c r="D34" s="21" t="n">
        <f aca="false">SUMIF('Findings Register'!H2:H23,"COO / CISO",'Findings Register'!I2:I23)</f>
        <v>6</v>
      </c>
    </row>
    <row r="35" customFormat="false" ht="15" hidden="false" customHeight="false" outlineLevel="0" collapsed="false">
      <c r="B35" s="8" t="s">
        <v>117</v>
      </c>
      <c r="C35" s="21" t="n">
        <f aca="false">COUNTIF('Findings Register'!H2:H23,"CTO / CISO")</f>
        <v>1</v>
      </c>
      <c r="D35" s="21" t="n">
        <f aca="false">SUMIF('Findings Register'!H2:H23,"CTO / CISO",'Findings Register'!I2:I23)</f>
        <v>5</v>
      </c>
    </row>
    <row r="36" customFormat="false" ht="15" hidden="false" customHeight="false" outlineLevel="0" collapsed="false">
      <c r="B36" s="8" t="s">
        <v>174</v>
      </c>
      <c r="C36" s="21" t="n">
        <f aca="false">COUNTIF('Findings Register'!H2:H23,"Procurement / CISO")</f>
        <v>1</v>
      </c>
      <c r="D36" s="21" t="n">
        <f aca="false">SUMIF('Findings Register'!H2:H23,"Procurement / CISO",'Findings Register'!I2:I23)</f>
        <v>5</v>
      </c>
    </row>
    <row r="37" customFormat="false" ht="15" hidden="false" customHeight="false" outlineLevel="0" collapsed="false">
      <c r="B37" s="8" t="s">
        <v>80</v>
      </c>
      <c r="C37" s="21" t="n">
        <f aca="false">COUNTIF('Findings Register'!H2:H23,"CISO / Board Secretary")</f>
        <v>1</v>
      </c>
      <c r="D37" s="21" t="n">
        <f aca="false">SUMIF('Findings Register'!H2:H23,"CISO / Board Secretary",'Findings Register'!I2:I23)</f>
        <v>4</v>
      </c>
    </row>
    <row r="38" customFormat="false" ht="15" hidden="false" customHeight="false" outlineLevel="0" collapsed="false">
      <c r="B38" s="8" t="s">
        <v>157</v>
      </c>
      <c r="C38" s="21" t="n">
        <f aca="false">COUNTIF('Findings Register'!H2:H23,"Engineering")</f>
        <v>1</v>
      </c>
      <c r="D38" s="21" t="n">
        <f aca="false">SUMIF('Findings Register'!H2:H23,"Engineering",'Findings Register'!I2:I23)</f>
        <v>4</v>
      </c>
    </row>
    <row r="39" customFormat="false" ht="15" hidden="false" customHeight="false" outlineLevel="0" collapsed="false">
      <c r="B39" s="8" t="s">
        <v>189</v>
      </c>
      <c r="C39" s="21" t="n">
        <f aca="false">COUNTIF('Findings Register'!H2:H23,"People &amp; Culture")</f>
        <v>1</v>
      </c>
      <c r="D39" s="21" t="n">
        <f aca="false">SUMIF('Findings Register'!H2:H23,"People &amp; Culture",'Findings Register'!I2:I23)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5" min="5" style="1" width="14"/>
  </cols>
  <sheetData>
    <row r="2" customFormat="false" ht="22.05" hidden="false" customHeight="false" outlineLevel="0" collapsed="false">
      <c r="B2" s="2" t="s">
        <v>223</v>
      </c>
    </row>
    <row r="3" customFormat="false" ht="15" hidden="false" customHeight="false" outlineLevel="0" collapsed="false">
      <c r="B3" s="29" t="s">
        <v>224</v>
      </c>
    </row>
    <row r="5" customFormat="false" ht="16.15" hidden="false" customHeight="false" outlineLevel="0" collapsed="false">
      <c r="B5" s="19" t="s">
        <v>225</v>
      </c>
    </row>
    <row r="6" customFormat="false" ht="15" hidden="false" customHeight="false" outlineLevel="0" collapsed="false">
      <c r="B6" s="7" t="s">
        <v>42</v>
      </c>
      <c r="C6" s="7" t="s">
        <v>216</v>
      </c>
      <c r="D6" s="7" t="s">
        <v>226</v>
      </c>
    </row>
    <row r="7" customFormat="false" ht="15" hidden="false" customHeight="false" outlineLevel="0" collapsed="false">
      <c r="B7" s="30" t="s">
        <v>53</v>
      </c>
      <c r="C7" s="21" t="n">
        <f aca="false">COUNTIF('Findings Register'!L2:L23,"Open")</f>
        <v>22</v>
      </c>
      <c r="D7" s="31" t="n">
        <f aca="false">IFERROR(C7/SUM($C$7:$C$9),0)</f>
        <v>1</v>
      </c>
    </row>
    <row r="8" customFormat="false" ht="15" hidden="false" customHeight="false" outlineLevel="0" collapsed="false">
      <c r="B8" s="32" t="s">
        <v>227</v>
      </c>
      <c r="C8" s="21" t="n">
        <f aca="false">COUNTIF('Findings Register'!L2:L23,"In Progress")</f>
        <v>0</v>
      </c>
      <c r="D8" s="31" t="n">
        <f aca="false">IFERROR(C8/SUM($C$7:$C$9),0)</f>
        <v>0</v>
      </c>
    </row>
    <row r="9" customFormat="false" ht="15" hidden="false" customHeight="false" outlineLevel="0" collapsed="false">
      <c r="B9" s="33" t="s">
        <v>228</v>
      </c>
      <c r="C9" s="21" t="n">
        <f aca="false">COUNTIF('Findings Register'!L2:L23,"Closed")</f>
        <v>0</v>
      </c>
      <c r="D9" s="31" t="n">
        <f aca="false">IFERROR(C9/SUM($C$7:$C$9),0)</f>
        <v>0</v>
      </c>
    </row>
    <row r="12" customFormat="false" ht="16.15" hidden="false" customHeight="false" outlineLevel="0" collapsed="false">
      <c r="B12" s="19" t="s">
        <v>229</v>
      </c>
    </row>
    <row r="13" customFormat="false" ht="26.85" hidden="false" customHeight="false" outlineLevel="0" collapsed="false">
      <c r="B13" s="7" t="s">
        <v>34</v>
      </c>
      <c r="C13" s="7" t="s">
        <v>230</v>
      </c>
      <c r="D13" s="7" t="s">
        <v>231</v>
      </c>
      <c r="E13" s="7" t="s">
        <v>232</v>
      </c>
    </row>
    <row r="14" customFormat="false" ht="15" hidden="false" customHeight="false" outlineLevel="0" collapsed="false">
      <c r="B14" s="30" t="s">
        <v>46</v>
      </c>
      <c r="C14" s="21" t="n">
        <f aca="false">COUNTIFS('Findings Register'!D2:D23,"High",'Findings Register'!L2:L23,"Open")</f>
        <v>4</v>
      </c>
      <c r="D14" s="21" t="n">
        <f aca="false">COUNTIF('Findings Register'!D2:D23,"High")</f>
        <v>4</v>
      </c>
      <c r="E14" s="31" t="n">
        <f aca="false">IFERROR(C14/D14,0)</f>
        <v>1</v>
      </c>
    </row>
    <row r="15" customFormat="false" ht="15" hidden="false" customHeight="false" outlineLevel="0" collapsed="false">
      <c r="B15" s="32" t="s">
        <v>77</v>
      </c>
      <c r="C15" s="21" t="n">
        <f aca="false">COUNTIFS('Findings Register'!D2:D23,"Medium",'Findings Register'!L2:L23,"Open")</f>
        <v>17</v>
      </c>
      <c r="D15" s="21" t="n">
        <f aca="false">COUNTIF('Findings Register'!D2:D23,"Medium")</f>
        <v>17</v>
      </c>
      <c r="E15" s="31" t="n">
        <f aca="false">IFERROR(C15/D15,0)</f>
        <v>1</v>
      </c>
    </row>
    <row r="16" customFormat="false" ht="15" hidden="false" customHeight="false" outlineLevel="0" collapsed="false">
      <c r="B16" s="34" t="s">
        <v>186</v>
      </c>
      <c r="C16" s="21" t="n">
        <f aca="false">COUNTIFS('Findings Register'!D2:D23,"Low",'Findings Register'!L2:L23,"Open")</f>
        <v>1</v>
      </c>
      <c r="D16" s="21" t="n">
        <f aca="false">COUNTIF('Findings Register'!D2:D23,"Low")</f>
        <v>1</v>
      </c>
      <c r="E16" s="31" t="n">
        <f aca="false">IFERROR(C16/D16,0)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2026-05-09T06:55:38Z</dcterms:created>
  <dc:creator>openpyxl</dc:creator>
  <dc:description/>
  <dc:language>en-US</dc:language>
  <cp:lastModifiedBy/>
  <dcterms:modified xsi:type="dcterms:W3CDTF">2026-05-09T06:55:38Z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