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Dashboard" sheetId="3" state="visible" r:id="rId5"/>
    <sheet name="Control Matrix" sheetId="4" state="visible" r:id="rId6"/>
    <sheet name="Findings Summary" sheetId="5" state="visible" r:id="rId7"/>
    <sheet name="Glossary" sheetId="6" state="visible" r:id="rId8"/>
  </sheets>
  <definedNames>
    <definedName function="false" hidden="true" localSheetId="3" name="_xlnm._FilterDatabase" vbProcedure="false">'Control Matrix'!$A$1:$K$66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<sst xmlns="http://schemas.openxmlformats.org/spreadsheetml/2006/main" count="1043" uniqueCount="523">
  <si>
    <t xml:space="preserve">SOC 2 TYPE 1 CONTROL MATRIX</t>
  </si>
  <si>
    <t xml:space="preserve">Trust Services Criterion: Security (Common Criteria CC1-CC9)</t>
  </si>
  <si>
    <t xml:space="preserve">Client (Simulated):</t>
  </si>
  <si>
    <t xml:space="preserve">MeridianHealth Analytics Pty Ltd</t>
  </si>
  <si>
    <t xml:space="preserve">Engagement:</t>
  </si>
  <si>
    <t xml:space="preserve">MHA-SOC2-2026-001</t>
  </si>
  <si>
    <t xml:space="preserve">Engagement Type:</t>
  </si>
  <si>
    <t xml:space="preserve">SOC 2 Type 1 Readiness Assessment</t>
  </si>
  <si>
    <t xml:space="preserve">Framework:</t>
  </si>
  <si>
    <t xml:space="preserve">AICPA Trust Services Criteria 2017 (rev. 2022 points of focus)</t>
  </si>
  <si>
    <t xml:space="preserve">Reporting Period:</t>
  </si>
  <si>
    <t xml:space="preserve">Point-in-time (Type 1)</t>
  </si>
  <si>
    <t xml:space="preserve">Prepared By:</t>
  </si>
  <si>
    <t xml:space="preserve">Gaurav Govind, GRC Analyst</t>
  </si>
  <si>
    <t xml:space="preserve">Date:</t>
  </si>
  <si>
    <t xml:space="preserve">28 April 2026</t>
  </si>
  <si>
    <t xml:space="preserve">Version:</t>
  </si>
  <si>
    <t xml:space="preserve">1.0 — Final</t>
  </si>
  <si>
    <t xml:space="preserve">Classification:</t>
  </si>
  <si>
    <t xml:space="preserve">Confidential — Client</t>
  </si>
  <si>
    <t xml:space="preserve">WORKBOOK CONTENTS</t>
  </si>
  <si>
    <t xml:space="preserve">Cover</t>
  </si>
  <si>
    <t xml:space="preserve">This sheet — engagement metadata</t>
  </si>
  <si>
    <t xml:space="preserve">Instructions</t>
  </si>
  <si>
    <t xml:space="preserve">Definitions for status, risk rating, and evidence reliability</t>
  </si>
  <si>
    <t xml:space="preserve">Dashboard</t>
  </si>
  <si>
    <t xml:space="preserve">Control coverage summary with charts and status by Common Criteria</t>
  </si>
  <si>
    <t xml:space="preserve">Control Matrix</t>
  </si>
  <si>
    <t xml:space="preserve">65 controls assessed against TSC Security (CC1-CC9)</t>
  </si>
  <si>
    <t xml:space="preserve">Findings Summary</t>
  </si>
  <si>
    <t xml:space="preserve">Findings auto-derived from control matrix gaps</t>
  </si>
  <si>
    <t xml:space="preserve">Glossary</t>
  </si>
  <si>
    <t xml:space="preserve">Acronyms and key terms</t>
  </si>
  <si>
    <t xml:space="preserve">DISCLAIMER</t>
  </si>
  <si>
    <t xml:space="preserve">This is a simulated portfolio engagement. MeridianHealth Analytics Pty Ltd is a fictional company. All findings and evidence references are illustrative.</t>
  </si>
  <si>
    <t xml:space="preserve">DEFINITIONS</t>
  </si>
  <si>
    <t xml:space="preserve">Control Status</t>
  </si>
  <si>
    <t xml:space="preserve">Implemented</t>
  </si>
  <si>
    <t xml:space="preserve">Control is designed appropriately and operating evidence is available.</t>
  </si>
  <si>
    <t xml:space="preserve">Partially Implemented</t>
  </si>
  <si>
    <t xml:space="preserve">Control exists but is missing key elements (documentation, evidence, or coverage).</t>
  </si>
  <si>
    <t xml:space="preserve">Not Implemented</t>
  </si>
  <si>
    <t xml:space="preserve">Control does not exist or has fundamental design gaps.</t>
  </si>
  <si>
    <t xml:space="preserve">Not Applicable</t>
  </si>
  <si>
    <t xml:space="preserve">Control does not apply to this entity given its services or scope.</t>
  </si>
  <si>
    <t xml:space="preserve">Residual Risk Rating</t>
  </si>
  <si>
    <t xml:space="preserve">High</t>
  </si>
  <si>
    <t xml:space="preserve">Significant likelihood of audit exception; remediation required before audit fieldwork.</t>
  </si>
  <si>
    <t xml:space="preserve">Medium</t>
  </si>
  <si>
    <t xml:space="preserve">Moderate likelihood of audit exception; remediation strongly recommended.</t>
  </si>
  <si>
    <t xml:space="preserve">Low</t>
  </si>
  <si>
    <t xml:space="preserve">Minor design or evidence gap; tracked but unlikely to cause audit exception.</t>
  </si>
  <si>
    <t xml:space="preserve">None</t>
  </si>
  <si>
    <t xml:space="preserve">No residual risk identified.</t>
  </si>
  <si>
    <t xml:space="preserve">Evidence Reliability</t>
  </si>
  <si>
    <t xml:space="preserve">A - High</t>
  </si>
  <si>
    <t xml:space="preserve">System-generated, tamper-evident, complete population (e.g., automated logs, IdP exports).</t>
  </si>
  <si>
    <t xml:space="preserve">B - Moderate</t>
  </si>
  <si>
    <t xml:space="preserve">Documented and reviewed but partly manual (e.g., signed-off policies, completed checklists).</t>
  </si>
  <si>
    <t xml:space="preserve">C - Low</t>
  </si>
  <si>
    <t xml:space="preserve">Self-attested, verbal, or sample-only evidence requiring strengthening before audit.</t>
  </si>
  <si>
    <t xml:space="preserve">N/A</t>
  </si>
  <si>
    <t xml:space="preserve">No evidence required (control not applicable).</t>
  </si>
  <si>
    <t xml:space="preserve">AICPA Common Criteria Categories</t>
  </si>
  <si>
    <t xml:space="preserve">CC1</t>
  </si>
  <si>
    <t xml:space="preserve">Control Environment</t>
  </si>
  <si>
    <t xml:space="preserve">CC2</t>
  </si>
  <si>
    <t xml:space="preserve">Communication &amp; Information</t>
  </si>
  <si>
    <t xml:space="preserve">CC3</t>
  </si>
  <si>
    <t xml:space="preserve">Risk Assessment</t>
  </si>
  <si>
    <t xml:space="preserve">CC4</t>
  </si>
  <si>
    <t xml:space="preserve">Monitoring Activities</t>
  </si>
  <si>
    <t xml:space="preserve">CC5</t>
  </si>
  <si>
    <t xml:space="preserve">Control Activities</t>
  </si>
  <si>
    <t xml:space="preserve">CC6</t>
  </si>
  <si>
    <t xml:space="preserve">Logical &amp; Physical Access Controls</t>
  </si>
  <si>
    <t xml:space="preserve">CC7</t>
  </si>
  <si>
    <t xml:space="preserve">System Operations</t>
  </si>
  <si>
    <t xml:space="preserve">CC8</t>
  </si>
  <si>
    <t xml:space="preserve">Change Management</t>
  </si>
  <si>
    <t xml:space="preserve">CC9</t>
  </si>
  <si>
    <t xml:space="preserve">Risk Mitigation</t>
  </si>
  <si>
    <t xml:space="preserve">CONTROL COVERAGE DASHBOARD</t>
  </si>
  <si>
    <t xml:space="preserve">MeridianHealth Analytics — SOC 2 Type 1 Readiness</t>
  </si>
  <si>
    <t xml:space="preserve">KEY METRICS</t>
  </si>
  <si>
    <t xml:space="preserve">Total Controls Assessed</t>
  </si>
  <si>
    <t xml:space="preserve">% Implemented (excl. N/A)</t>
  </si>
  <si>
    <t xml:space="preserve">High Residual Risk</t>
  </si>
  <si>
    <t xml:space="preserve">Medium Residual Risk</t>
  </si>
  <si>
    <t xml:space="preserve">Low Residual Risk</t>
  </si>
  <si>
    <t xml:space="preserve">No Residual Risk</t>
  </si>
  <si>
    <t xml:space="preserve">STATUS BY COMMON CRITERIA CATEGORY</t>
  </si>
  <si>
    <t xml:space="preserve">Category</t>
  </si>
  <si>
    <t xml:space="preserve">Total</t>
  </si>
  <si>
    <t xml:space="preserve">Partial</t>
  </si>
  <si>
    <t xml:space="preserve">Not Impl.</t>
  </si>
  <si>
    <t xml:space="preserve">% Impl.</t>
  </si>
  <si>
    <t xml:space="preserve">TOTAL</t>
  </si>
  <si>
    <t xml:space="preserve">Control ID</t>
  </si>
  <si>
    <t xml:space="preserve">CC</t>
  </si>
  <si>
    <t xml:space="preserve">Control Name</t>
  </si>
  <si>
    <t xml:space="preserve">Control Description</t>
  </si>
  <si>
    <t xml:space="preserve">Status</t>
  </si>
  <si>
    <t xml:space="preserve">Evidence / Notes</t>
  </si>
  <si>
    <t xml:space="preserve">Owner</t>
  </si>
  <si>
    <t xml:space="preserve">Residual Risk</t>
  </si>
  <si>
    <t xml:space="preserve">Recommendation</t>
  </si>
  <si>
    <t xml:space="preserve">CC1.1-01</t>
  </si>
  <si>
    <t xml:space="preserve">Code of Conduct &amp; Ethics</t>
  </si>
  <si>
    <t xml:space="preserve">The entity demonstrates commitment to integrity and ethical values through a documented Code of Conduct acknowledged by all personnel.</t>
  </si>
  <si>
    <t xml:space="preserve">Code of Conduct v2.1 (Mar 2025); annual acknowledgement tracked in BambooHR.</t>
  </si>
  <si>
    <t xml:space="preserve">People &amp; Culture</t>
  </si>
  <si>
    <t xml:space="preserve">Acknowledgement evidence is partly manual; recommend automated tracking export from BambooHR.</t>
  </si>
  <si>
    <t xml:space="preserve">CC1.1-02</t>
  </si>
  <si>
    <t xml:space="preserve">Background Checks</t>
  </si>
  <si>
    <t xml:space="preserve">Background checks are performed for all new hires prior to commencement, commensurate with role sensitivity.</t>
  </si>
  <si>
    <t xml:space="preserve">Checkr API integration; 100% completion in last 24 hires.</t>
  </si>
  <si>
    <t xml:space="preserve">No gap identified.</t>
  </si>
  <si>
    <t xml:space="preserve">CC1.2-01</t>
  </si>
  <si>
    <t xml:space="preserve">Board Oversight of Security</t>
  </si>
  <si>
    <t xml:space="preserve">The Board of Directors exercises oversight of internal control over the security objectives.</t>
  </si>
  <si>
    <t xml:space="preserve">Quarterly security update on Board agenda since Q3 FY24, but no documented Board-level Security Charter or Risk Appetite Statement.</t>
  </si>
  <si>
    <t xml:space="preserve">CISO / Board Secretary</t>
  </si>
  <si>
    <t xml:space="preserve">Draft and adopt a Board-approved Information Security Charter and Risk Appetite Statement aligned with US assurance expectations.</t>
  </si>
  <si>
    <t xml:space="preserve">CC1.3-01</t>
  </si>
  <si>
    <t xml:space="preserve">Organisational Structure</t>
  </si>
  <si>
    <t xml:space="preserve">Management establishes structures, reporting lines, and authorities in pursuit of objectives.</t>
  </si>
  <si>
    <t xml:space="preserve">Org chart in Confluence; security team reports to CTO with dotted line to CEO.</t>
  </si>
  <si>
    <t xml:space="preserve">CTO</t>
  </si>
  <si>
    <t xml:space="preserve">CC1.4-01</t>
  </si>
  <si>
    <t xml:space="preserve">Competence - Hiring</t>
  </si>
  <si>
    <t xml:space="preserve">The entity attracts, develops, and retains competent personnel; role descriptions specify required qualifications.</t>
  </si>
  <si>
    <t xml:space="preserve">Role descriptions in Workable; security roles include required certifications.</t>
  </si>
  <si>
    <t xml:space="preserve">Role descriptions for non-security roles do not specify security responsibilities; recommend update.</t>
  </si>
  <si>
    <t xml:space="preserve">CC1.4-02</t>
  </si>
  <si>
    <t xml:space="preserve">Security Awareness Training</t>
  </si>
  <si>
    <t xml:space="preserve">Personnel complete information security awareness training upon hire and annually thereafter.</t>
  </si>
  <si>
    <t xml:space="preserve">KnowBe4 deployed Q1 FY25; 78% completion rate (target 100%); phishing simulation not yet enabled.</t>
  </si>
  <si>
    <t xml:space="preserve">CISO</t>
  </si>
  <si>
    <t xml:space="preserve">Drive completion to 100% before audit period; enable monthly phishing simulations; retain completion evidence per user.</t>
  </si>
  <si>
    <t xml:space="preserve">CC1.5-01</t>
  </si>
  <si>
    <t xml:space="preserve">Performance &amp; Accountability</t>
  </si>
  <si>
    <t xml:space="preserve">The entity holds individuals accountable for their internal control responsibilities.</t>
  </si>
  <si>
    <t xml:space="preserve">Performance reviews include security-objective KPI for engineering and operations.</t>
  </si>
  <si>
    <t xml:space="preserve">CC2.1-01</t>
  </si>
  <si>
    <t xml:space="preserve">Information Quality</t>
  </si>
  <si>
    <t xml:space="preserve">The entity obtains or generates relevant, quality information to support the functioning of internal control.</t>
  </si>
  <si>
    <t xml:space="preserve">Datadog dashboards, AWS Config, GuardDuty, and Security Hub feed weekly metrics.</t>
  </si>
  <si>
    <t xml:space="preserve">Security Engineering</t>
  </si>
  <si>
    <t xml:space="preserve">CC2.2-01</t>
  </si>
  <si>
    <t xml:space="preserve">Internal Communication of Policies</t>
  </si>
  <si>
    <t xml:space="preserve">The entity communicates information security policies and responsibilities internally.</t>
  </si>
  <si>
    <t xml:space="preserve">Policies published in Confluence ISMS space; all-hands quarterly security update.</t>
  </si>
  <si>
    <t xml:space="preserve">Policy acknowledgement not centrally tracked - recommend Vanta or Drata acknowledgement workflow.</t>
  </si>
  <si>
    <t xml:space="preserve">CC2.2-02</t>
  </si>
  <si>
    <t xml:space="preserve">Whistleblower &amp; Reporting Channel</t>
  </si>
  <si>
    <t xml:space="preserve">Personnel can report concerns confidentially through a defined channel.</t>
  </si>
  <si>
    <t xml:space="preserve">Whistleblower email and Vault platform; Audit Committee reviews quarterly.</t>
  </si>
  <si>
    <t xml:space="preserve">General Counsel</t>
  </si>
  <si>
    <t xml:space="preserve">CC2.3-01</t>
  </si>
  <si>
    <t xml:space="preserve">External Communication - Customers</t>
  </si>
  <si>
    <t xml:space="preserve">The entity communicates with external parties regarding matters affecting the functioning of internal control.</t>
  </si>
  <si>
    <t xml:space="preserve">MSA includes generic security clauses; no customer-facing Trust Centre or security commitments page.</t>
  </si>
  <si>
    <t xml:space="preserve">CISO / Marketing</t>
  </si>
  <si>
    <t xml:space="preserve">Build customer-facing Trust Centre publishing SOC 2 status, ISO 27001 cert, and incident notification commitments.</t>
  </si>
  <si>
    <t xml:space="preserve">CC2.3-02</t>
  </si>
  <si>
    <t xml:space="preserve">Customer Notification of Incidents</t>
  </si>
  <si>
    <t xml:space="preserve">The entity has defined commitments and processes for notifying customers of security incidents affecting their data.</t>
  </si>
  <si>
    <t xml:space="preserve">MSA references 'reasonable timeframes'; no defined SLA (e.g., 72-hour notice).</t>
  </si>
  <si>
    <t xml:space="preserve">CISO / General Counsel</t>
  </si>
  <si>
    <t xml:space="preserve">Define and contractually commit to incident notification SLA aligned with US healthcare client expectations (recommend 72 hours).</t>
  </si>
  <si>
    <t xml:space="preserve">CC3.1-01</t>
  </si>
  <si>
    <t xml:space="preserve">Risk Assessment Process</t>
  </si>
  <si>
    <t xml:space="preserve">The entity specifies objectives clearly enough to enable identification and assessment of risks.</t>
  </si>
  <si>
    <t xml:space="preserve">Annual risk assessment per ISO 31000; risk register in ServiceNow.</t>
  </si>
  <si>
    <t xml:space="preserve">No gap (existing ISO 27001 process).</t>
  </si>
  <si>
    <t xml:space="preserve">CC3.2-01</t>
  </si>
  <si>
    <t xml:space="preserve">Risk Identification &amp; Analysis</t>
  </si>
  <si>
    <t xml:space="preserve">The entity identifies risks to the achievement of objectives and analyses them to determine response.</t>
  </si>
  <si>
    <t xml:space="preserve">Risk register reviewed quarterly; threat modelling for new features.</t>
  </si>
  <si>
    <t xml:space="preserve">CISO / Security Architect</t>
  </si>
  <si>
    <t xml:space="preserve">CC3.2-02</t>
  </si>
  <si>
    <t xml:space="preserve">Fraud Risk Assessment</t>
  </si>
  <si>
    <t xml:space="preserve">The entity considers the potential for fraud in assessing risks.</t>
  </si>
  <si>
    <t xml:space="preserve">No formal fraud risk assessment documented; covered informally by Finance.</t>
  </si>
  <si>
    <t xml:space="preserve">CFO / CISO</t>
  </si>
  <si>
    <t xml:space="preserve">Conduct an annual fraud risk assessment covering financial, operational, and IT-fraud scenarios; document and link to risk register.</t>
  </si>
  <si>
    <t xml:space="preserve">CC3.3-01</t>
  </si>
  <si>
    <t xml:space="preserve">Significant Change Risk</t>
  </si>
  <si>
    <t xml:space="preserve">The entity identifies and assesses changes that could significantly impact internal control.</t>
  </si>
  <si>
    <t xml:space="preserve">Architecture Review Board reviews material changes; not formally documented as a control activity.</t>
  </si>
  <si>
    <t xml:space="preserve">CTO / CISO</t>
  </si>
  <si>
    <t xml:space="preserve">Formalise Architecture Review Board charter with security-impact assessment template.</t>
  </si>
  <si>
    <t xml:space="preserve">CC3.4-01</t>
  </si>
  <si>
    <t xml:space="preserve">Vendor Risk Assessment</t>
  </si>
  <si>
    <t xml:space="preserve">The entity assesses risks associated with vendors and third parties.</t>
  </si>
  <si>
    <t xml:space="preserve">TPRM programme covers Tier 1/2 vendors; CAIQ-based assessments for new vendors.</t>
  </si>
  <si>
    <t xml:space="preserve">Procurement / CISO</t>
  </si>
  <si>
    <t xml:space="preserve">Tier 3 vendors not formally assessed; recommend lightweight questionnaire process.</t>
  </si>
  <si>
    <t xml:space="preserve">CC4.1-01</t>
  </si>
  <si>
    <t xml:space="preserve">Internal Audit Programme</t>
  </si>
  <si>
    <t xml:space="preserve">The entity selects, develops, and performs ongoing and/or separate evaluations of internal control.</t>
  </si>
  <si>
    <t xml:space="preserve">Internal audit performed by CISO team annually; not independent of management.</t>
  </si>
  <si>
    <t xml:space="preserve">Engage external internal-audit provider for FY26 to provide independence; alternatively rotate auditor across leadership.</t>
  </si>
  <si>
    <t xml:space="preserve">CC4.1-02</t>
  </si>
  <si>
    <t xml:space="preserve">Continuous Monitoring</t>
  </si>
  <si>
    <t xml:space="preserve">The entity uses automated tools to continuously monitor security controls.</t>
  </si>
  <si>
    <t xml:space="preserve">AWS Security Hub, GuardDuty, Config, Datadog SIEM with 24x7 alerting to on-call.</t>
  </si>
  <si>
    <t xml:space="preserve">CC4.2-01</t>
  </si>
  <si>
    <t xml:space="preserve">Deficiency Reporting</t>
  </si>
  <si>
    <t xml:space="preserve">The entity evaluates and communicates internal control deficiencies in a timely manner.</t>
  </si>
  <si>
    <t xml:space="preserve">Deficiencies tracked in Jira; no formal escalation matrix to executive leadership.</t>
  </si>
  <si>
    <t xml:space="preserve">Document an escalation matrix tying deficiency severity to executive notification timelines.</t>
  </si>
  <si>
    <t xml:space="preserve">CC4.2-02</t>
  </si>
  <si>
    <t xml:space="preserve">Management Review of Findings</t>
  </si>
  <si>
    <t xml:space="preserve">Management reviews monitoring results and approves remediation plans.</t>
  </si>
  <si>
    <t xml:space="preserve">Monthly Security Steering Committee reviews findings; minutes retained.</t>
  </si>
  <si>
    <t xml:space="preserve">CC5.1-01</t>
  </si>
  <si>
    <t xml:space="preserve">Selection &amp; Development of Controls</t>
  </si>
  <si>
    <t xml:space="preserve">The entity selects and develops control activities that contribute to mitigation of risks.</t>
  </si>
  <si>
    <t xml:space="preserve">Controls aligned to ISO 27001 Annex A; reviewed annually as part of SoA refresh.</t>
  </si>
  <si>
    <t xml:space="preserve">CC5.2-01</t>
  </si>
  <si>
    <t xml:space="preserve">Selection of Technology Controls</t>
  </si>
  <si>
    <t xml:space="preserve">The entity selects and develops general control activities over technology.</t>
  </si>
  <si>
    <t xml:space="preserve">AWS Config rules, IaC enforcement via Terraform Cloud, mandatory MFA via Okta.</t>
  </si>
  <si>
    <t xml:space="preserve">Security Engineering / Platform</t>
  </si>
  <si>
    <t xml:space="preserve">CC5.3-01</t>
  </si>
  <si>
    <t xml:space="preserve">Policies &amp; Procedures Deployment</t>
  </si>
  <si>
    <t xml:space="preserve">The entity deploys control activities through policies and procedures.</t>
  </si>
  <si>
    <t xml:space="preserve">16 policies in Confluence; 4 are over 24 months old without review.</t>
  </si>
  <si>
    <t xml:space="preserve">Refresh stale policies (DLP, Cryptography, Mobile Device, Acceptable Use) and implement annual review cadence.</t>
  </si>
  <si>
    <t xml:space="preserve">CC5.3-02</t>
  </si>
  <si>
    <t xml:space="preserve">Segregation of Duties</t>
  </si>
  <si>
    <t xml:space="preserve">Incompatible duties are segregated where practicable.</t>
  </si>
  <si>
    <t xml:space="preserve">Production deployment requires peer review in GitHub; SoD not formally documented.</t>
  </si>
  <si>
    <t xml:space="preserve">Document SoD matrix covering deployment, access provisioning, financial approvals; review quarterly.</t>
  </si>
  <si>
    <t xml:space="preserve">CC6.1-01</t>
  </si>
  <si>
    <t xml:space="preserve">Logical Access</t>
  </si>
  <si>
    <t xml:space="preserve">Logical Access Provisioning</t>
  </si>
  <si>
    <t xml:space="preserve">Logical access to systems and data is provisioned based on documented authorisation.</t>
  </si>
  <si>
    <t xml:space="preserve">Okta workflows trigger access on hire; ServiceNow request for additional access.</t>
  </si>
  <si>
    <t xml:space="preserve">Identity &amp; Access Mgmt</t>
  </si>
  <si>
    <t xml:space="preserve">CC6.1-02</t>
  </si>
  <si>
    <t xml:space="preserve">MFA Enforcement</t>
  </si>
  <si>
    <t xml:space="preserve">Multi-factor authentication is enforced for access to in-scope systems.</t>
  </si>
  <si>
    <t xml:space="preserve">Okta enforces MFA for all SaaS apps; AWS console requires MFA via IAM Identity Center.</t>
  </si>
  <si>
    <t xml:space="preserve">CC6.1-03</t>
  </si>
  <si>
    <t xml:space="preserve">Privileged Access Management</t>
  </si>
  <si>
    <t xml:space="preserve">Privileged access (admin, root) is restricted, monitored, and reviewed.</t>
  </si>
  <si>
    <t xml:space="preserve">AWS admin via IAM Identity Center with break-glass; no PAM tool for OS-level admin on EC2.</t>
  </si>
  <si>
    <t xml:space="preserve">Implement Teleport or AWS Systems Manager Session Manager for OS-level access with session recording.</t>
  </si>
  <si>
    <t xml:space="preserve">CC6.1-04</t>
  </si>
  <si>
    <t xml:space="preserve">Service Account Management</t>
  </si>
  <si>
    <t xml:space="preserve">Service accounts are inventoried, owned, and reviewed for necessity.</t>
  </si>
  <si>
    <t xml:space="preserve">Service accounts exist in AWS IAM and GitHub; no central inventory or owner mapping.</t>
  </si>
  <si>
    <t xml:space="preserve">Build service account inventory with owner, purpose, last-used date; review quarterly.</t>
  </si>
  <si>
    <t xml:space="preserve">CC6.2-01</t>
  </si>
  <si>
    <t xml:space="preserve">User Access Reviews</t>
  </si>
  <si>
    <t xml:space="preserve">User access to systems is reviewed at defined intervals.</t>
  </si>
  <si>
    <t xml:space="preserve">Annual review only; auditor expectation is quarterly for SOC 2.</t>
  </si>
  <si>
    <t xml:space="preserve">CISO / People &amp; Culture</t>
  </si>
  <si>
    <t xml:space="preserve">Move to quarterly access reviews for production AWS, Okta, GitHub, and database access; retain manager sign-off.</t>
  </si>
  <si>
    <t xml:space="preserve">CC6.2-02</t>
  </si>
  <si>
    <t xml:space="preserve">Access Removal on Termination</t>
  </si>
  <si>
    <t xml:space="preserve">Access is removed promptly upon termination or role change.</t>
  </si>
  <si>
    <t xml:space="preserve">Okta deprovisioning triggered by BambooHR; SLA of 4 hours; tested monthly.</t>
  </si>
  <si>
    <t xml:space="preserve">CC6.3-01</t>
  </si>
  <si>
    <t xml:space="preserve">Authentication Standards</t>
  </si>
  <si>
    <t xml:space="preserve">Authentication mechanisms enforce strong password and session standards.</t>
  </si>
  <si>
    <t xml:space="preserve">Okta password policy: 14 chars, complexity, 90-day rotation, 24-hour session.</t>
  </si>
  <si>
    <t xml:space="preserve">CC6.4-01</t>
  </si>
  <si>
    <t xml:space="preserve">Physical Access - Offices</t>
  </si>
  <si>
    <t xml:space="preserve">Physical access to facilities is restricted to authorised personnel.</t>
  </si>
  <si>
    <t xml:space="preserve">Kisi access control to Sydney and Melbourne offices; visitor log; CCTV.</t>
  </si>
  <si>
    <t xml:space="preserve">Facilities</t>
  </si>
  <si>
    <t xml:space="preserve">CC6.4-02</t>
  </si>
  <si>
    <t xml:space="preserve">Physical Access - Data Centres</t>
  </si>
  <si>
    <t xml:space="preserve">Physical access to data centres is restricted (where applicable).</t>
  </si>
  <si>
    <t xml:space="preserve">All production hosted on AWS; reliance on AWS SOC 2 Type 2 report.</t>
  </si>
  <si>
    <t xml:space="preserve">No gap (carved-out sub-service organisation).</t>
  </si>
  <si>
    <t xml:space="preserve">CC6.5-01</t>
  </si>
  <si>
    <t xml:space="preserve">Data Disposal</t>
  </si>
  <si>
    <t xml:space="preserve">Data and media are disposed of securely when no longer required.</t>
  </si>
  <si>
    <t xml:space="preserve">AWS S3 lifecycle policies enforce deletion; physical media destruction process informal.</t>
  </si>
  <si>
    <t xml:space="preserve">Security Engineering / Facilities</t>
  </si>
  <si>
    <t xml:space="preserve">Document and approve a Media Sanitisation &amp; Disposal Standard covering both AWS and physical media.</t>
  </si>
  <si>
    <t xml:space="preserve">CC6.6-01</t>
  </si>
  <si>
    <t xml:space="preserve">External Network Boundaries</t>
  </si>
  <si>
    <t xml:space="preserve">Network boundaries restrict external access to in-scope systems.</t>
  </si>
  <si>
    <t xml:space="preserve">AWS WAF, Cloudflare DDoS, security groups, NACLs; default-deny architecture.</t>
  </si>
  <si>
    <t xml:space="preserve">Platform Engineering</t>
  </si>
  <si>
    <t xml:space="preserve">CC6.7-01</t>
  </si>
  <si>
    <t xml:space="preserve">Data Encryption in Transit</t>
  </si>
  <si>
    <t xml:space="preserve">Data is encrypted in transit using current standards.</t>
  </si>
  <si>
    <t xml:space="preserve">TLS 1.2+ enforced; HSTS; certificates managed via AWS Certificate Manager.</t>
  </si>
  <si>
    <t xml:space="preserve">CC6.8-01</t>
  </si>
  <si>
    <t xml:space="preserve">Data Encryption at Rest</t>
  </si>
  <si>
    <t xml:space="preserve">Data is encrypted at rest using current standards.</t>
  </si>
  <si>
    <t xml:space="preserve">AWS KMS CMK encryption for RDS, S3, EBS; customer-managed keys for US clients.</t>
  </si>
  <si>
    <t xml:space="preserve">CC7.1-01</t>
  </si>
  <si>
    <t xml:space="preserve">Vulnerability Management - Scanning</t>
  </si>
  <si>
    <t xml:space="preserve">Vulnerabilities are identified through regular scanning of systems.</t>
  </si>
  <si>
    <t xml:space="preserve">Qualys VMDR weekly scans of AWS workloads; Snyk for application dependencies.</t>
  </si>
  <si>
    <t xml:space="preserve">CC7.1-02</t>
  </si>
  <si>
    <t xml:space="preserve">Vulnerability Management - Remediation SLA</t>
  </si>
  <si>
    <t xml:space="preserve">Identified vulnerabilities are remediated within risk-based SLAs.</t>
  </si>
  <si>
    <t xml:space="preserve">SLAs: Critical 7 days, High 30 days, Medium 90 days. 12 Highs currently open beyond SLA.</t>
  </si>
  <si>
    <t xml:space="preserve">Close out backlog of 12 overdue Highs before audit period; report SLA compliance monthly.</t>
  </si>
  <si>
    <t xml:space="preserve">CC7.1-03</t>
  </si>
  <si>
    <t xml:space="preserve">Patch Management</t>
  </si>
  <si>
    <t xml:space="preserve">Operating systems and applications are patched in line with the patch management standard.</t>
  </si>
  <si>
    <t xml:space="preserve">AWS Systems Manager Patch Manager monthly; SaaS patched by vendor.</t>
  </si>
  <si>
    <t xml:space="preserve">CC7.2-01</t>
  </si>
  <si>
    <t xml:space="preserve">Security Event Monitoring</t>
  </si>
  <si>
    <t xml:space="preserve">Security events are monitored to detect anomalies and unauthorised activity.</t>
  </si>
  <si>
    <t xml:space="preserve">Datadog SIEM with custom detection rules; 24x7 on-call triage.</t>
  </si>
  <si>
    <t xml:space="preserve">Security Operations</t>
  </si>
  <si>
    <t xml:space="preserve">CC7.2-02</t>
  </si>
  <si>
    <t xml:space="preserve">Logging Coverage</t>
  </si>
  <si>
    <t xml:space="preserve">Sufficient logs are captured to support investigation and detection.</t>
  </si>
  <si>
    <t xml:space="preserve">CloudTrail, VPC Flow Logs, ALB logs, application logs to Datadog with 13-month retention.</t>
  </si>
  <si>
    <t xml:space="preserve">CC7.3-01</t>
  </si>
  <si>
    <t xml:space="preserve">Incident Response Plan</t>
  </si>
  <si>
    <t xml:space="preserve">An incident response plan is documented, tested, and maintained.</t>
  </si>
  <si>
    <t xml:space="preserve">IR Plan v3.0 (Jan 2025); tabletop exercise overdue (last conducted Sep 2024).</t>
  </si>
  <si>
    <t xml:space="preserve">Conduct a tabletop exercise within 30 days; schedule semi-annual cadence; retain after-action reports.</t>
  </si>
  <si>
    <t xml:space="preserve">CC7.3-02</t>
  </si>
  <si>
    <t xml:space="preserve">Incident Classification</t>
  </si>
  <si>
    <t xml:space="preserve">Security incidents are classified by severity to drive response.</t>
  </si>
  <si>
    <t xml:space="preserve">Severity matrix in IR Plan (P1-P4); aligned to PagerDuty severity.</t>
  </si>
  <si>
    <t xml:space="preserve">CC7.4-01</t>
  </si>
  <si>
    <t xml:space="preserve">Incident Response Communication</t>
  </si>
  <si>
    <t xml:space="preserve">Stakeholders are kept informed during incident response.</t>
  </si>
  <si>
    <t xml:space="preserve">Internal comms via Slack #incident-response; external comms ad-hoc.</t>
  </si>
  <si>
    <t xml:space="preserve">Document a Communications Playbook covering customer, regulator, and media communications by incident type.</t>
  </si>
  <si>
    <t xml:space="preserve">CC7.5-01</t>
  </si>
  <si>
    <t xml:space="preserve">Incident Lessons Learned</t>
  </si>
  <si>
    <t xml:space="preserve">Lessons-learned reviews are conducted after material incidents.</t>
  </si>
  <si>
    <t xml:space="preserve">Blameless post-mortems via Confluence template; reviewed at Security Steering Committee.</t>
  </si>
  <si>
    <t xml:space="preserve">CC7.5-02</t>
  </si>
  <si>
    <t xml:space="preserve">Backup &amp; Recovery Testing</t>
  </si>
  <si>
    <t xml:space="preserve">Backups are taken and recovery is tested.</t>
  </si>
  <si>
    <t xml:space="preserve">RDS automated backups; cross-region replication; full recovery test last performed Aug 2024.</t>
  </si>
  <si>
    <t xml:space="preserve">Conduct full recovery test before audit period; document RTO/RPO results; schedule semi-annual cadence.</t>
  </si>
  <si>
    <t xml:space="preserve">CC8.1-01</t>
  </si>
  <si>
    <t xml:space="preserve">Change Authorisation</t>
  </si>
  <si>
    <t xml:space="preserve">Production changes require documented authorisation prior to deployment.</t>
  </si>
  <si>
    <t xml:space="preserve">GitHub PR with mandatory review; Terraform plan review for infra; Jira ticket for tracking.</t>
  </si>
  <si>
    <t xml:space="preserve">Engineering</t>
  </si>
  <si>
    <t xml:space="preserve">CC8.1-02</t>
  </si>
  <si>
    <t xml:space="preserve">Change Testing</t>
  </si>
  <si>
    <t xml:space="preserve">Production changes are tested prior to deployment.</t>
  </si>
  <si>
    <t xml:space="preserve">CI/CD pipeline with unit, integration, and security tests; staging environment.</t>
  </si>
  <si>
    <t xml:space="preserve">CC8.1-03</t>
  </si>
  <si>
    <t xml:space="preserve">Emergency Changes</t>
  </si>
  <si>
    <t xml:space="preserve">Emergency changes follow a defined process with retrospective approval.</t>
  </si>
  <si>
    <t xml:space="preserve">Process exists informally; not consistently documented in Jira.</t>
  </si>
  <si>
    <t xml:space="preserve">Engineering / CTO</t>
  </si>
  <si>
    <t xml:space="preserve">Formalise emergency change process with mandatory retrospective ticket within 24 hours; track separately.</t>
  </si>
  <si>
    <t xml:space="preserve">CC8.1-04</t>
  </si>
  <si>
    <t xml:space="preserve">Configuration Management</t>
  </si>
  <si>
    <t xml:space="preserve">System configurations are managed through version control.</t>
  </si>
  <si>
    <t xml:space="preserve">100% of infrastructure as code in Terraform; GitHub as source of truth; drift detection enabled.</t>
  </si>
  <si>
    <t xml:space="preserve">CC8.1-05</t>
  </si>
  <si>
    <t xml:space="preserve">Change Evidence Retention</t>
  </si>
  <si>
    <t xml:space="preserve">Evidence of change authorisation, testing, and deployment is retained.</t>
  </si>
  <si>
    <t xml:space="preserve">GitHub PRs and Jira tickets retained; 6-month default; auditor expects 12+ months.</t>
  </si>
  <si>
    <t xml:space="preserve">Extend retention of GitHub and Jira data to 24 months minimum; export quarterly to long-term archive.</t>
  </si>
  <si>
    <t xml:space="preserve">CC9.1-01</t>
  </si>
  <si>
    <t xml:space="preserve">Business Continuity Plan</t>
  </si>
  <si>
    <t xml:space="preserve">A business continuity plan is documented and maintained.</t>
  </si>
  <si>
    <t xml:space="preserve">BCP v2.1; not tested in last 12 months.</t>
  </si>
  <si>
    <t xml:space="preserve">COO / CISO</t>
  </si>
  <si>
    <t xml:space="preserve">Conduct BCP exercise (e.g., simulated AWS region failure) within 60 days; document outcomes.</t>
  </si>
  <si>
    <t xml:space="preserve">CC9.1-02</t>
  </si>
  <si>
    <t xml:space="preserve">Disaster Recovery Plan</t>
  </si>
  <si>
    <t xml:space="preserve">A disaster recovery plan is documented, tested, and aligned with business RTO/RPO.</t>
  </si>
  <si>
    <t xml:space="preserve">DR plan exists; cross-region failover untested at full scale.</t>
  </si>
  <si>
    <t xml:space="preserve">Conduct full DR failover test to us-east-1; validate RTO 4hr / RPO 15min; document outcomes.</t>
  </si>
  <si>
    <t xml:space="preserve">CC9.1-03</t>
  </si>
  <si>
    <t xml:space="preserve">Insurance Coverage</t>
  </si>
  <si>
    <t xml:space="preserve">The entity maintains insurance coverage commensurate with its risk profile, including cyber liability.</t>
  </si>
  <si>
    <t xml:space="preserve">Cyber liability AUD $10M; Tech E&amp;O AUD $5M; renewed annually.</t>
  </si>
  <si>
    <t xml:space="preserve">CFO / General Counsel</t>
  </si>
  <si>
    <t xml:space="preserve">CC9.2-01</t>
  </si>
  <si>
    <t xml:space="preserve">Vendor Risk - Due Diligence</t>
  </si>
  <si>
    <t xml:space="preserve">Due diligence is performed on vendors prior to engagement.</t>
  </si>
  <si>
    <t xml:space="preserve">CAIQ-based questionnaire for Tier 1/2; reviewed by Security and Legal before contracting.</t>
  </si>
  <si>
    <t xml:space="preserve">CC9.2-02</t>
  </si>
  <si>
    <t xml:space="preserve">Vendor Risk - Ongoing Monitoring</t>
  </si>
  <si>
    <t xml:space="preserve">Vendor security posture is monitored on an ongoing basis.</t>
  </si>
  <si>
    <t xml:space="preserve">Annual reassessment for Tier 1; no continuous monitoring (e.g., SecurityScorecard).</t>
  </si>
  <si>
    <t xml:space="preserve">Implement BitSight or SecurityScorecard for Tier 1 vendors; review monthly; integrate with risk register.</t>
  </si>
  <si>
    <t xml:space="preserve">CC9.2-03</t>
  </si>
  <si>
    <t xml:space="preserve">Vendor Contractual Security Terms</t>
  </si>
  <si>
    <t xml:space="preserve">Vendor contracts include appropriate security and confidentiality obligations.</t>
  </si>
  <si>
    <t xml:space="preserve">Standard DPA and security addendum applied to Tier 1/2 contracts.</t>
  </si>
  <si>
    <t xml:space="preserve">General Counsel / Procurement</t>
  </si>
  <si>
    <t xml:space="preserve">CC9.2-04</t>
  </si>
  <si>
    <t xml:space="preserve">Vendor SOC Report Review</t>
  </si>
  <si>
    <t xml:space="preserve">Sub-service organisation SOC reports are reviewed and CUECs are addressed.</t>
  </si>
  <si>
    <t xml:space="preserve">AWS, Okta, Datadog reports collected; CUECs not formally tracked or mapped to MeridianHealth controls.</t>
  </si>
  <si>
    <t xml:space="preserve">Build CUEC tracker mapping each sub-service organisation user-entity-control consideration to a MeridianHealth control; review on each new SOC report.</t>
  </si>
  <si>
    <t xml:space="preserve">CC9.2-05</t>
  </si>
  <si>
    <t xml:space="preserve">Sub-processor Disclosure</t>
  </si>
  <si>
    <t xml:space="preserve">Sub-processors handling customer data are disclosed to customers.</t>
  </si>
  <si>
    <t xml:space="preserve">Sub-processor list published in MSA Schedule 2; updated when changed.</t>
  </si>
  <si>
    <t xml:space="preserve">CC9.2-06</t>
  </si>
  <si>
    <t xml:space="preserve">Data Classification</t>
  </si>
  <si>
    <t xml:space="preserve">Data is classified to drive appropriate protection measures.</t>
  </si>
  <si>
    <t xml:space="preserve">Four-tier classification (Public, Internal, Confidential, Restricted); applied via tags in S3 and labels in Confluence.</t>
  </si>
  <si>
    <t xml:space="preserve">CC9.2-07</t>
  </si>
  <si>
    <t xml:space="preserve">Data Retention &amp; Deletion</t>
  </si>
  <si>
    <t xml:space="preserve">Data retention and deletion policies are documented and enforced.</t>
  </si>
  <si>
    <t xml:space="preserve">Retention policy defines 7-year retention for healthcare data; automated deletion not yet implemented for all data types.</t>
  </si>
  <si>
    <t xml:space="preserve">CISO / Platform Engineering</t>
  </si>
  <si>
    <t xml:space="preserve">Implement automated retention/deletion for log data, customer support tickets, and analytics datasets per Data Retention Standard.</t>
  </si>
  <si>
    <t xml:space="preserve">CC9.2-08</t>
  </si>
  <si>
    <t xml:space="preserve">Privacy Notice &amp; Consent</t>
  </si>
  <si>
    <t xml:space="preserve">Privacy notices and consent mechanisms are in place.</t>
  </si>
  <si>
    <t xml:space="preserve">Privacy Policy aligned to APPs and HIPAA Notice of Privacy Practices; consent captured at customer onboarding.</t>
  </si>
  <si>
    <t xml:space="preserve">General Counsel / Privacy Lead</t>
  </si>
  <si>
    <t xml:space="preserve">No gap (privacy criterion not in scope but covered).</t>
  </si>
  <si>
    <t xml:space="preserve">CC9.2-09</t>
  </si>
  <si>
    <t xml:space="preserve">Cyber Insurance Sub-limits Review</t>
  </si>
  <si>
    <t xml:space="preserve">Insurance sub-limits are reviewed against changing threat landscape.</t>
  </si>
  <si>
    <t xml:space="preserve">Annual renewal review; ransomware sub-limit not separately analysed.</t>
  </si>
  <si>
    <t xml:space="preserve">CFO</t>
  </si>
  <si>
    <t xml:space="preserve">Engage broker for ransomware sub-limit analysis; document board-approved acceptance.</t>
  </si>
  <si>
    <t xml:space="preserve">FINDINGS DERIVED FROM CONTROL MATRIX</t>
  </si>
  <si>
    <t xml:space="preserve">Auto-populated from controls with Partial / Not Implemented status and Medium+ residual risk.</t>
  </si>
  <si>
    <t xml:space="preserve">#</t>
  </si>
  <si>
    <t xml:space="preserve">Finding ID</t>
  </si>
  <si>
    <t xml:space="preserve">Severity</t>
  </si>
  <si>
    <t xml:space="preserve">1</t>
  </si>
  <si>
    <t xml:space="preserve">F-CC1.2-01</t>
  </si>
  <si>
    <t xml:space="preserve">2</t>
  </si>
  <si>
    <t xml:space="preserve">F-CC1.4-02</t>
  </si>
  <si>
    <t xml:space="preserve">3</t>
  </si>
  <si>
    <t xml:space="preserve">F-CC2.3-01</t>
  </si>
  <si>
    <t xml:space="preserve">4</t>
  </si>
  <si>
    <t xml:space="preserve">F-CC2.3-02</t>
  </si>
  <si>
    <t xml:space="preserve">5</t>
  </si>
  <si>
    <t xml:space="preserve">F-CC3.2-02</t>
  </si>
  <si>
    <t xml:space="preserve">6</t>
  </si>
  <si>
    <t xml:space="preserve">F-CC4.1-01</t>
  </si>
  <si>
    <t xml:space="preserve">7</t>
  </si>
  <si>
    <t xml:space="preserve">F-CC5.3-01</t>
  </si>
  <si>
    <t xml:space="preserve">8</t>
  </si>
  <si>
    <t xml:space="preserve">F-CC5.3-02</t>
  </si>
  <si>
    <t xml:space="preserve">9</t>
  </si>
  <si>
    <t xml:space="preserve">F-CC6.1-03</t>
  </si>
  <si>
    <t xml:space="preserve">10</t>
  </si>
  <si>
    <t xml:space="preserve">F-CC6.1-04</t>
  </si>
  <si>
    <t xml:space="preserve">11</t>
  </si>
  <si>
    <t xml:space="preserve">F-CC6.2-01</t>
  </si>
  <si>
    <t xml:space="preserve">12</t>
  </si>
  <si>
    <t xml:space="preserve">F-CC7.1-02</t>
  </si>
  <si>
    <t xml:space="preserve">13</t>
  </si>
  <si>
    <t xml:space="preserve">F-CC7.3-01</t>
  </si>
  <si>
    <t xml:space="preserve">14</t>
  </si>
  <si>
    <t xml:space="preserve">F-CC7.4-01</t>
  </si>
  <si>
    <t xml:space="preserve">15</t>
  </si>
  <si>
    <t xml:space="preserve">F-CC7.5-02</t>
  </si>
  <si>
    <t xml:space="preserve">16</t>
  </si>
  <si>
    <t xml:space="preserve">F-CC8.1-05</t>
  </si>
  <si>
    <t xml:space="preserve">17</t>
  </si>
  <si>
    <t xml:space="preserve">F-CC9.1-01</t>
  </si>
  <si>
    <t xml:space="preserve">18</t>
  </si>
  <si>
    <t xml:space="preserve">F-CC9.1-02</t>
  </si>
  <si>
    <t xml:space="preserve">19</t>
  </si>
  <si>
    <t xml:space="preserve">F-CC9.2-02</t>
  </si>
  <si>
    <t xml:space="preserve">20</t>
  </si>
  <si>
    <t xml:space="preserve">F-CC9.2-04</t>
  </si>
  <si>
    <t xml:space="preserve">21</t>
  </si>
  <si>
    <t xml:space="preserve">F-CC9.2-07</t>
  </si>
  <si>
    <t xml:space="preserve">Total findings: 21  |  High: 4  |  Medium: 17</t>
  </si>
  <si>
    <t xml:space="preserve">GLOSSARY</t>
  </si>
  <si>
    <t xml:space="preserve">AICPA</t>
  </si>
  <si>
    <t xml:space="preserve">American Institute of Certified Public Accountants — issuer of the Trust Services Criteria.</t>
  </si>
  <si>
    <t xml:space="preserve">APRA CPS 234</t>
  </si>
  <si>
    <t xml:space="preserve">Australian Prudential Regulation Authority Cross-industry Prudential Standard 234 — Information Security.</t>
  </si>
  <si>
    <t xml:space="preserve">CAIQ</t>
  </si>
  <si>
    <t xml:space="preserve">Consensus Assessments Initiative Questionnaire — vendor security assessment from Cloud Security Alliance.</t>
  </si>
  <si>
    <t xml:space="preserve">Common Criteria — the nine baseline criteria of the Security TSC (CC1–CC9).</t>
  </si>
  <si>
    <t xml:space="preserve">CUEC</t>
  </si>
  <si>
    <t xml:space="preserve">Complementary User Entity Control — control the user entity must implement to complement a sub-service organisation's controls.</t>
  </si>
  <si>
    <t xml:space="preserve">DR</t>
  </si>
  <si>
    <t xml:space="preserve">Disaster Recovery.</t>
  </si>
  <si>
    <t xml:space="preserve">IdP</t>
  </si>
  <si>
    <t xml:space="preserve">Identity Provider — e.g., Okta, Azure AD.</t>
  </si>
  <si>
    <t xml:space="preserve">IR</t>
  </si>
  <si>
    <t xml:space="preserve">Incident Response.</t>
  </si>
  <si>
    <t xml:space="preserve">ISMS</t>
  </si>
  <si>
    <t xml:space="preserve">Information Security Management System (ISO/IEC 27001 term).</t>
  </si>
  <si>
    <t xml:space="preserve">KMS</t>
  </si>
  <si>
    <t xml:space="preserve">Key Management Service (AWS encryption key store).</t>
  </si>
  <si>
    <t xml:space="preserve">MFA</t>
  </si>
  <si>
    <t xml:space="preserve">Multi-Factor Authentication.</t>
  </si>
  <si>
    <t xml:space="preserve">MSA</t>
  </si>
  <si>
    <t xml:space="preserve">Master Services Agreement.</t>
  </si>
  <si>
    <t xml:space="preserve">RACI</t>
  </si>
  <si>
    <t xml:space="preserve">Responsible, Accountable, Consulted, Informed.</t>
  </si>
  <si>
    <t xml:space="preserve">RPO</t>
  </si>
  <si>
    <t xml:space="preserve">Recovery Point Objective — maximum tolerable data loss.</t>
  </si>
  <si>
    <t xml:space="preserve">RTO</t>
  </si>
  <si>
    <t xml:space="preserve">Recovery Time Objective — maximum tolerable downtime.</t>
  </si>
  <si>
    <t xml:space="preserve">SaaS</t>
  </si>
  <si>
    <t xml:space="preserve">Software as a Service.</t>
  </si>
  <si>
    <t xml:space="preserve">SoA</t>
  </si>
  <si>
    <t xml:space="preserve">Statement of Applicability (ISO 27001 term).</t>
  </si>
  <si>
    <t xml:space="preserve">SoD</t>
  </si>
  <si>
    <t xml:space="preserve">Segregation of Duties.</t>
  </si>
  <si>
    <t xml:space="preserve">SOC 2</t>
  </si>
  <si>
    <t xml:space="preserve">Service Organisation Control 2 — AICPA assurance framework.</t>
  </si>
  <si>
    <t xml:space="preserve">SIEM</t>
  </si>
  <si>
    <t xml:space="preserve">Security Information and Event Management.</t>
  </si>
  <si>
    <t xml:space="preserve">TPRM</t>
  </si>
  <si>
    <t xml:space="preserve">Third-Party Risk Management.</t>
  </si>
  <si>
    <t xml:space="preserve">TSC</t>
  </si>
  <si>
    <t xml:space="preserve">Trust Services Criteria — AICPA framework underpinning SOC 2.</t>
  </si>
  <si>
    <t xml:space="preserve">VMDR</t>
  </si>
  <si>
    <t xml:space="preserve">Vulnerability Management, Detection, and Response (Qualys product).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</si>
</sst>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A5F"/>
      <name val="Arial"/>
      <family val="0"/>
      <charset val="1"/>
    </font>
    <font>
      <i val="true"/>
      <sz val="12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8"/>
      <color rgb="FF1F3A5F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3A5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D5E8F0"/>
      </patternFill>
    </fill>
    <fill>
      <patternFill patternType="solid">
        <fgColor rgb="FFFFEB9C"/>
        <bgColor rgb="FFFFD480"/>
      </patternFill>
    </fill>
    <fill>
      <patternFill patternType="solid">
        <fgColor rgb="FFFFC7CE"/>
        <bgColor rgb="FFFFD480"/>
      </patternFill>
    </fill>
    <fill>
      <patternFill patternType="solid">
        <fgColor rgb="FFF2F2F2"/>
        <bgColor rgb="FFFFFFFF"/>
      </patternFill>
    </fill>
    <fill>
      <patternFill patternType="solid">
        <fgColor rgb="FFFFD480"/>
        <bgColor rgb="FFFFEB9C"/>
      </patternFill>
    </fill>
    <fill>
      <patternFill patternType="solid">
        <fgColor rgb="FF1F3A5F"/>
        <bgColor rgb="FF333333"/>
      </patternFill>
    </fill>
    <fill>
      <patternFill patternType="solid">
        <fgColor rgb="FFD5E8F0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5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D48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name val="Arial"/>
        <charset val="1"/>
        <family val="0"/>
        <b val="1"/>
        <sz val="10"/>
      </font>
      <fill>
        <patternFill>
          <bgColor rgb="FFFFC7CE"/>
        </patternFill>
      </fill>
    </dxf>
    <dxf>
      <fill>
        <patternFill>
          <bgColor rgb="FFFFD4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5E8F0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D48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70"/>
  </cols>
  <sheetData>
    <row r="2" customFormat="false" ht="24.45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  <c r="C5" s="5" t="s">
        <v>3</v>
      </c>
    </row>
    <row r="6" customFormat="false" ht="15" hidden="false" customHeight="false" outlineLevel="0" collapsed="false">
      <c r="B6" s="4" t="s">
        <v>4</v>
      </c>
      <c r="C6" s="5" t="s">
        <v>5</v>
      </c>
    </row>
    <row r="7" customFormat="false" ht="15" hidden="false" customHeight="false" outlineLevel="0" collapsed="false">
      <c r="B7" s="4" t="s">
        <v>6</v>
      </c>
      <c r="C7" s="5" t="s">
        <v>7</v>
      </c>
    </row>
    <row r="8" customFormat="false" ht="15" hidden="false" customHeight="false" outlineLevel="0" collapsed="false">
      <c r="B8" s="4" t="s">
        <v>8</v>
      </c>
      <c r="C8" s="5" t="s">
        <v>9</v>
      </c>
    </row>
    <row r="9" customFormat="false" ht="15" hidden="false" customHeight="false" outlineLevel="0" collapsed="false">
      <c r="B9" s="4" t="s">
        <v>10</v>
      </c>
      <c r="C9" s="5" t="s">
        <v>11</v>
      </c>
    </row>
    <row r="10" customFormat="false" ht="15" hidden="false" customHeight="false" outlineLevel="0" collapsed="false">
      <c r="B10" s="4" t="s">
        <v>12</v>
      </c>
      <c r="C10" s="5" t="s">
        <v>13</v>
      </c>
    </row>
    <row r="11" customFormat="false" ht="15" hidden="false" customHeight="false" outlineLevel="0" collapsed="false">
      <c r="B11" s="4" t="s">
        <v>14</v>
      </c>
      <c r="C11" s="5" t="s">
        <v>15</v>
      </c>
    </row>
    <row r="12" customFormat="false" ht="15" hidden="false" customHeight="false" outlineLevel="0" collapsed="false">
      <c r="B12" s="4" t="s">
        <v>16</v>
      </c>
      <c r="C12" s="5" t="s">
        <v>17</v>
      </c>
    </row>
    <row r="13" customFormat="false" ht="15" hidden="false" customHeight="false" outlineLevel="0" collapsed="false">
      <c r="B13" s="4" t="s">
        <v>18</v>
      </c>
      <c r="C13" s="5" t="s">
        <v>19</v>
      </c>
    </row>
    <row r="16" customFormat="false" ht="17.35" hidden="false" customHeight="false" outlineLevel="0" collapsed="false">
      <c r="B16" s="6" t="s">
        <v>20</v>
      </c>
    </row>
    <row r="17" customFormat="false" ht="15" hidden="false" customHeight="false" outlineLevel="0" collapsed="false">
      <c r="B17" s="4" t="s">
        <v>21</v>
      </c>
      <c r="C17" s="5" t="s">
        <v>22</v>
      </c>
    </row>
    <row r="18" customFormat="false" ht="15" hidden="false" customHeight="false" outlineLevel="0" collapsed="false">
      <c r="B18" s="4" t="s">
        <v>23</v>
      </c>
      <c r="C18" s="5" t="s">
        <v>24</v>
      </c>
    </row>
    <row r="19" customFormat="false" ht="15" hidden="false" customHeight="false" outlineLevel="0" collapsed="false">
      <c r="B19" s="4" t="s">
        <v>25</v>
      </c>
      <c r="C19" s="5" t="s">
        <v>26</v>
      </c>
    </row>
    <row r="20" customFormat="false" ht="15" hidden="false" customHeight="false" outlineLevel="0" collapsed="false">
      <c r="B20" s="4" t="s">
        <v>27</v>
      </c>
      <c r="C20" s="5" t="s">
        <v>28</v>
      </c>
    </row>
    <row r="21" customFormat="false" ht="15" hidden="false" customHeight="false" outlineLevel="0" collapsed="false">
      <c r="B21" s="4" t="s">
        <v>29</v>
      </c>
      <c r="C21" s="5" t="s">
        <v>30</v>
      </c>
    </row>
    <row r="22" customFormat="false" ht="15" hidden="false" customHeight="false" outlineLevel="0" collapsed="false">
      <c r="B22" s="4" t="s">
        <v>31</v>
      </c>
      <c r="C22" s="5" t="s">
        <v>32</v>
      </c>
    </row>
    <row r="25" customFormat="false" ht="15" hidden="false" customHeight="false" outlineLevel="0" collapsed="false">
      <c r="B25" s="7" t="s">
        <v>33</v>
      </c>
    </row>
    <row r="26" customFormat="false" ht="15" hidden="false" customHeight="true" outlineLevel="0" collapsed="false">
      <c r="B26" s="8" t="s">
        <v>34</v>
      </c>
      <c r="C26" s="8"/>
    </row>
    <row r="27" customFormat="false" ht="15" hidden="false" customHeight="false" outlineLevel="0" collapsed="false">
      <c r="B27" s="8"/>
      <c r="C27" s="8"/>
    </row>
    <row r="28" customFormat="false" ht="15" hidden="false" customHeight="false" outlineLevel="0" collapsed="false">
      <c r="B28" s="8"/>
      <c r="C28" s="8"/>
    </row>
  </sheetData>
  <mergeCells count="1">
    <mergeCell ref="B26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3" min="3" style="1" width="90"/>
  </cols>
  <sheetData>
    <row r="2" customFormat="false" ht="22.05" hidden="false" customHeight="false" outlineLevel="0" collapsed="false">
      <c r="B2" s="9" t="s">
        <v>35</v>
      </c>
    </row>
    <row r="4" customFormat="false" ht="16.15" hidden="false" customHeight="false" outlineLevel="0" collapsed="false">
      <c r="B4" s="10" t="s">
        <v>36</v>
      </c>
    </row>
    <row r="5" customFormat="false" ht="24" hidden="false" customHeight="true" outlineLevel="0" collapsed="false">
      <c r="B5" s="11" t="s">
        <v>37</v>
      </c>
      <c r="C5" s="12" t="s">
        <v>38</v>
      </c>
    </row>
    <row r="6" customFormat="false" ht="24" hidden="false" customHeight="true" outlineLevel="0" collapsed="false">
      <c r="B6" s="13" t="s">
        <v>39</v>
      </c>
      <c r="C6" s="12" t="s">
        <v>40</v>
      </c>
    </row>
    <row r="7" customFormat="false" ht="24" hidden="false" customHeight="true" outlineLevel="0" collapsed="false">
      <c r="B7" s="14" t="s">
        <v>41</v>
      </c>
      <c r="C7" s="12" t="s">
        <v>42</v>
      </c>
    </row>
    <row r="8" customFormat="false" ht="24" hidden="false" customHeight="true" outlineLevel="0" collapsed="false">
      <c r="B8" s="15" t="s">
        <v>43</v>
      </c>
      <c r="C8" s="12" t="s">
        <v>44</v>
      </c>
    </row>
    <row r="11" customFormat="false" ht="16.15" hidden="false" customHeight="false" outlineLevel="0" collapsed="false">
      <c r="B11" s="10" t="s">
        <v>45</v>
      </c>
    </row>
    <row r="12" customFormat="false" ht="24" hidden="false" customHeight="true" outlineLevel="0" collapsed="false">
      <c r="B12" s="14" t="s">
        <v>46</v>
      </c>
      <c r="C12" s="12" t="s">
        <v>47</v>
      </c>
    </row>
    <row r="13" customFormat="false" ht="24" hidden="false" customHeight="true" outlineLevel="0" collapsed="false">
      <c r="B13" s="16" t="s">
        <v>48</v>
      </c>
      <c r="C13" s="12" t="s">
        <v>49</v>
      </c>
    </row>
    <row r="14" customFormat="false" ht="24" hidden="false" customHeight="true" outlineLevel="0" collapsed="false">
      <c r="B14" s="13" t="s">
        <v>50</v>
      </c>
      <c r="C14" s="12" t="s">
        <v>51</v>
      </c>
    </row>
    <row r="15" customFormat="false" ht="24" hidden="false" customHeight="true" outlineLevel="0" collapsed="false">
      <c r="B15" s="11" t="s">
        <v>52</v>
      </c>
      <c r="C15" s="12" t="s">
        <v>53</v>
      </c>
    </row>
    <row r="18" customFormat="false" ht="16.15" hidden="false" customHeight="false" outlineLevel="0" collapsed="false">
      <c r="B18" s="10" t="s">
        <v>54</v>
      </c>
    </row>
    <row r="19" customFormat="false" ht="15" hidden="false" customHeight="false" outlineLevel="0" collapsed="false">
      <c r="B19" s="17" t="s">
        <v>55</v>
      </c>
      <c r="C19" s="12" t="s">
        <v>56</v>
      </c>
    </row>
    <row r="20" customFormat="false" ht="15" hidden="false" customHeight="false" outlineLevel="0" collapsed="false">
      <c r="B20" s="17" t="s">
        <v>57</v>
      </c>
      <c r="C20" s="12" t="s">
        <v>58</v>
      </c>
    </row>
    <row r="21" customFormat="false" ht="15" hidden="false" customHeight="false" outlineLevel="0" collapsed="false">
      <c r="B21" s="17" t="s">
        <v>59</v>
      </c>
      <c r="C21" s="12" t="s">
        <v>60</v>
      </c>
    </row>
    <row r="22" customFormat="false" ht="15" hidden="false" customHeight="false" outlineLevel="0" collapsed="false">
      <c r="B22" s="17" t="s">
        <v>61</v>
      </c>
      <c r="C22" s="12" t="s">
        <v>62</v>
      </c>
    </row>
    <row r="25" customFormat="false" ht="16.15" hidden="false" customHeight="false" outlineLevel="0" collapsed="false">
      <c r="B25" s="10" t="s">
        <v>63</v>
      </c>
    </row>
    <row r="26" customFormat="false" ht="15" hidden="false" customHeight="false" outlineLevel="0" collapsed="false">
      <c r="B26" s="4" t="s">
        <v>64</v>
      </c>
      <c r="C26" s="5" t="s">
        <v>65</v>
      </c>
    </row>
    <row r="27" customFormat="false" ht="15" hidden="false" customHeight="false" outlineLevel="0" collapsed="false">
      <c r="B27" s="4" t="s">
        <v>66</v>
      </c>
      <c r="C27" s="5" t="s">
        <v>67</v>
      </c>
    </row>
    <row r="28" customFormat="false" ht="15" hidden="false" customHeight="false" outlineLevel="0" collapsed="false">
      <c r="B28" s="4" t="s">
        <v>68</v>
      </c>
      <c r="C28" s="5" t="s">
        <v>69</v>
      </c>
    </row>
    <row r="29" customFormat="false" ht="15" hidden="false" customHeight="false" outlineLevel="0" collapsed="false">
      <c r="B29" s="4" t="s">
        <v>70</v>
      </c>
      <c r="C29" s="5" t="s">
        <v>71</v>
      </c>
    </row>
    <row r="30" customFormat="false" ht="15" hidden="false" customHeight="false" outlineLevel="0" collapsed="false">
      <c r="B30" s="4" t="s">
        <v>72</v>
      </c>
      <c r="C30" s="5" t="s">
        <v>73</v>
      </c>
    </row>
    <row r="31" customFormat="false" ht="15" hidden="false" customHeight="false" outlineLevel="0" collapsed="false">
      <c r="B31" s="4" t="s">
        <v>74</v>
      </c>
      <c r="C31" s="5" t="s">
        <v>75</v>
      </c>
    </row>
    <row r="32" customFormat="false" ht="15" hidden="false" customHeight="false" outlineLevel="0" collapsed="false">
      <c r="B32" s="4" t="s">
        <v>76</v>
      </c>
      <c r="C32" s="5" t="s">
        <v>77</v>
      </c>
    </row>
    <row r="33" customFormat="false" ht="15" hidden="false" customHeight="false" outlineLevel="0" collapsed="false">
      <c r="B33" s="4" t="s">
        <v>78</v>
      </c>
      <c r="C33" s="5" t="s">
        <v>79</v>
      </c>
    </row>
    <row r="34" customFormat="false" ht="15" hidden="false" customHeight="false" outlineLevel="0" collapsed="false">
      <c r="B34" s="4" t="s">
        <v>80</v>
      </c>
      <c r="C34" s="5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8" min="3" style="1" width="16"/>
  </cols>
  <sheetData>
    <row r="2" customFormat="false" ht="22.05" hidden="false" customHeight="false" outlineLevel="0" collapsed="false">
      <c r="B2" s="9" t="s">
        <v>82</v>
      </c>
    </row>
    <row r="3" customFormat="false" ht="15" hidden="false" customHeight="false" outlineLevel="0" collapsed="false">
      <c r="B3" s="18" t="s">
        <v>83</v>
      </c>
    </row>
    <row r="5" customFormat="false" ht="16.15" hidden="false" customHeight="false" outlineLevel="0" collapsed="false">
      <c r="B5" s="10" t="s">
        <v>84</v>
      </c>
    </row>
    <row r="6" customFormat="false" ht="15" hidden="false" customHeight="false" outlineLevel="0" collapsed="false">
      <c r="B6" s="17" t="s">
        <v>85</v>
      </c>
      <c r="C6" s="19" t="n">
        <f aca="false">COUNTA('Control Matrix'!A2:A66)</f>
        <v>65</v>
      </c>
    </row>
    <row r="7" customFormat="false" ht="15" hidden="false" customHeight="false" outlineLevel="0" collapsed="false">
      <c r="B7" s="17" t="s">
        <v>37</v>
      </c>
      <c r="C7" s="19" t="n">
        <f aca="false">COUNTIF('Control Matrix'!F2:F66,"Implemented")</f>
        <v>38</v>
      </c>
    </row>
    <row r="8" customFormat="false" ht="15" hidden="false" customHeight="false" outlineLevel="0" collapsed="false">
      <c r="B8" s="17" t="s">
        <v>39</v>
      </c>
      <c r="C8" s="19" t="n">
        <f aca="false">COUNTIF('Control Matrix'!F2:F66,"Partially Implemented")</f>
        <v>25</v>
      </c>
    </row>
    <row r="9" customFormat="false" ht="15" hidden="false" customHeight="false" outlineLevel="0" collapsed="false">
      <c r="B9" s="17" t="s">
        <v>41</v>
      </c>
      <c r="C9" s="19" t="n">
        <f aca="false">COUNTIF('Control Matrix'!F2:F66,"Not Implemented")</f>
        <v>1</v>
      </c>
    </row>
    <row r="10" customFormat="false" ht="15" hidden="false" customHeight="false" outlineLevel="0" collapsed="false">
      <c r="B10" s="17" t="s">
        <v>43</v>
      </c>
      <c r="C10" s="19" t="n">
        <f aca="false">COUNTIF('Control Matrix'!F2:F66,"Not Applicable")</f>
        <v>1</v>
      </c>
    </row>
    <row r="11" customFormat="false" ht="15" hidden="false" customHeight="false" outlineLevel="0" collapsed="false">
      <c r="B11" s="17" t="s">
        <v>86</v>
      </c>
      <c r="C11" s="20" t="n">
        <f aca="false">IFERROR(C7/(C6-C9),0)</f>
        <v>0.59375</v>
      </c>
    </row>
    <row r="12" customFormat="false" ht="15" hidden="false" customHeight="false" outlineLevel="0" collapsed="false">
      <c r="B12" s="17" t="s">
        <v>87</v>
      </c>
      <c r="C12" s="19" t="n">
        <f aca="false">COUNTIF('Control Matrix'!J2:J66,"High")</f>
        <v>4</v>
      </c>
    </row>
    <row r="13" customFormat="false" ht="15" hidden="false" customHeight="false" outlineLevel="0" collapsed="false">
      <c r="B13" s="17" t="s">
        <v>88</v>
      </c>
      <c r="C13" s="19" t="n">
        <f aca="false">COUNTIF('Control Matrix'!J2:J66,"Medium")</f>
        <v>17</v>
      </c>
    </row>
    <row r="14" customFormat="false" ht="15" hidden="false" customHeight="false" outlineLevel="0" collapsed="false">
      <c r="B14" s="17" t="s">
        <v>89</v>
      </c>
      <c r="C14" s="19" t="n">
        <f aca="false">COUNTIF('Control Matrix'!J2:J66,"Low")</f>
        <v>9</v>
      </c>
    </row>
    <row r="15" customFormat="false" ht="15" hidden="false" customHeight="false" outlineLevel="0" collapsed="false">
      <c r="B15" s="17" t="s">
        <v>90</v>
      </c>
      <c r="C15" s="19" t="n">
        <f aca="false">COUNTIF('Control Matrix'!J2:J66,"None")</f>
        <v>35</v>
      </c>
    </row>
    <row r="18" customFormat="false" ht="16.15" hidden="false" customHeight="false" outlineLevel="0" collapsed="false">
      <c r="B18" s="10" t="s">
        <v>91</v>
      </c>
    </row>
    <row r="19" customFormat="false" ht="27.75" hidden="false" customHeight="true" outlineLevel="0" collapsed="false">
      <c r="B19" s="21" t="s">
        <v>92</v>
      </c>
      <c r="C19" s="21" t="s">
        <v>93</v>
      </c>
      <c r="D19" s="21" t="s">
        <v>37</v>
      </c>
      <c r="E19" s="21" t="s">
        <v>94</v>
      </c>
      <c r="F19" s="21" t="s">
        <v>95</v>
      </c>
      <c r="G19" s="21" t="s">
        <v>61</v>
      </c>
      <c r="H19" s="21" t="s">
        <v>96</v>
      </c>
    </row>
    <row r="20" customFormat="false" ht="15" hidden="false" customHeight="false" outlineLevel="0" collapsed="false">
      <c r="B20" s="22" t="s">
        <v>64</v>
      </c>
      <c r="C20" s="23" t="n">
        <f aca="false">COUNTIF('Control Matrix'!B2:B66,"CC1")</f>
        <v>7</v>
      </c>
      <c r="D20" s="23" t="n">
        <f aca="false">COUNTIFS('Control Matrix'!B2:B66,"CC1",'Control Matrix'!F2:F66,"Implemented")</f>
        <v>5</v>
      </c>
      <c r="E20" s="23" t="n">
        <f aca="false">COUNTIFS('Control Matrix'!B2:B66,"CC1",'Control Matrix'!F2:F66,"Partially Implemented")</f>
        <v>2</v>
      </c>
      <c r="F20" s="23" t="n">
        <f aca="false">COUNTIFS('Control Matrix'!B2:B66,"CC1",'Control Matrix'!F2:F66,"Not Implemented")</f>
        <v>0</v>
      </c>
      <c r="G20" s="23" t="n">
        <f aca="false">COUNTIFS('Control Matrix'!B2:B66,"CC1",'Control Matrix'!F2:F66,"Not Applicable")</f>
        <v>0</v>
      </c>
      <c r="H20" s="24" t="n">
        <f aca="false">IFERROR(D20/(C20-G20),0)</f>
        <v>0.714285714285714</v>
      </c>
    </row>
    <row r="21" customFormat="false" ht="15" hidden="false" customHeight="false" outlineLevel="0" collapsed="false">
      <c r="B21" s="22" t="s">
        <v>66</v>
      </c>
      <c r="C21" s="23" t="n">
        <f aca="false">COUNTIF('Control Matrix'!B2:B66,"CC2")</f>
        <v>5</v>
      </c>
      <c r="D21" s="23" t="n">
        <f aca="false">COUNTIFS('Control Matrix'!B2:B66,"CC2",'Control Matrix'!F2:F66,"Implemented")</f>
        <v>3</v>
      </c>
      <c r="E21" s="23" t="n">
        <f aca="false">COUNTIFS('Control Matrix'!B2:B66,"CC2",'Control Matrix'!F2:F66,"Partially Implemented")</f>
        <v>2</v>
      </c>
      <c r="F21" s="23" t="n">
        <f aca="false">COUNTIFS('Control Matrix'!B2:B66,"CC2",'Control Matrix'!F2:F66,"Not Implemented")</f>
        <v>0</v>
      </c>
      <c r="G21" s="23" t="n">
        <f aca="false">COUNTIFS('Control Matrix'!B2:B66,"CC2",'Control Matrix'!F2:F66,"Not Applicable")</f>
        <v>0</v>
      </c>
      <c r="H21" s="24" t="n">
        <f aca="false">IFERROR(D21/(C21-G21),0)</f>
        <v>0.6</v>
      </c>
    </row>
    <row r="22" customFormat="false" ht="15" hidden="false" customHeight="false" outlineLevel="0" collapsed="false">
      <c r="B22" s="22" t="s">
        <v>68</v>
      </c>
      <c r="C22" s="23" t="n">
        <f aca="false">COUNTIF('Control Matrix'!B2:B66,"CC3")</f>
        <v>5</v>
      </c>
      <c r="D22" s="23" t="n">
        <f aca="false">COUNTIFS('Control Matrix'!B2:B66,"CC3",'Control Matrix'!F2:F66,"Implemented")</f>
        <v>3</v>
      </c>
      <c r="E22" s="23" t="n">
        <f aca="false">COUNTIFS('Control Matrix'!B2:B66,"CC3",'Control Matrix'!F2:F66,"Partially Implemented")</f>
        <v>1</v>
      </c>
      <c r="F22" s="23" t="n">
        <f aca="false">COUNTIFS('Control Matrix'!B2:B66,"CC3",'Control Matrix'!F2:F66,"Not Implemented")</f>
        <v>1</v>
      </c>
      <c r="G22" s="23" t="n">
        <f aca="false">COUNTIFS('Control Matrix'!B2:B66,"CC3",'Control Matrix'!F2:F66,"Not Applicable")</f>
        <v>0</v>
      </c>
      <c r="H22" s="24" t="n">
        <f aca="false">IFERROR(D22/(C22-G22),0)</f>
        <v>0.6</v>
      </c>
    </row>
    <row r="23" customFormat="false" ht="15" hidden="false" customHeight="false" outlineLevel="0" collapsed="false">
      <c r="B23" s="22" t="s">
        <v>70</v>
      </c>
      <c r="C23" s="23" t="n">
        <f aca="false">COUNTIF('Control Matrix'!B2:B66,"CC4")</f>
        <v>4</v>
      </c>
      <c r="D23" s="23" t="n">
        <f aca="false">COUNTIFS('Control Matrix'!B2:B66,"CC4",'Control Matrix'!F2:F66,"Implemented")</f>
        <v>2</v>
      </c>
      <c r="E23" s="23" t="n">
        <f aca="false">COUNTIFS('Control Matrix'!B2:B66,"CC4",'Control Matrix'!F2:F66,"Partially Implemented")</f>
        <v>2</v>
      </c>
      <c r="F23" s="23" t="n">
        <f aca="false">COUNTIFS('Control Matrix'!B2:B66,"CC4",'Control Matrix'!F2:F66,"Not Implemented")</f>
        <v>0</v>
      </c>
      <c r="G23" s="23" t="n">
        <f aca="false">COUNTIFS('Control Matrix'!B2:B66,"CC4",'Control Matrix'!F2:F66,"Not Applicable")</f>
        <v>0</v>
      </c>
      <c r="H23" s="24" t="n">
        <f aca="false">IFERROR(D23/(C23-G23),0)</f>
        <v>0.5</v>
      </c>
    </row>
    <row r="24" customFormat="false" ht="15" hidden="false" customHeight="false" outlineLevel="0" collapsed="false">
      <c r="B24" s="22" t="s">
        <v>72</v>
      </c>
      <c r="C24" s="23" t="n">
        <f aca="false">COUNTIF('Control Matrix'!B2:B66,"CC5")</f>
        <v>4</v>
      </c>
      <c r="D24" s="23" t="n">
        <f aca="false">COUNTIFS('Control Matrix'!B2:B66,"CC5",'Control Matrix'!F2:F66,"Implemented")</f>
        <v>2</v>
      </c>
      <c r="E24" s="23" t="n">
        <f aca="false">COUNTIFS('Control Matrix'!B2:B66,"CC5",'Control Matrix'!F2:F66,"Partially Implemented")</f>
        <v>2</v>
      </c>
      <c r="F24" s="23" t="n">
        <f aca="false">COUNTIFS('Control Matrix'!B2:B66,"CC5",'Control Matrix'!F2:F66,"Not Implemented")</f>
        <v>0</v>
      </c>
      <c r="G24" s="23" t="n">
        <f aca="false">COUNTIFS('Control Matrix'!B2:B66,"CC5",'Control Matrix'!F2:F66,"Not Applicable")</f>
        <v>0</v>
      </c>
      <c r="H24" s="24" t="n">
        <f aca="false">IFERROR(D24/(C24-G24),0)</f>
        <v>0.5</v>
      </c>
    </row>
    <row r="25" customFormat="false" ht="15" hidden="false" customHeight="false" outlineLevel="0" collapsed="false">
      <c r="B25" s="22" t="s">
        <v>74</v>
      </c>
      <c r="C25" s="23" t="n">
        <f aca="false">COUNTIF('Control Matrix'!B2:B66,"CC6")</f>
        <v>13</v>
      </c>
      <c r="D25" s="23" t="n">
        <f aca="false">COUNTIFS('Control Matrix'!B2:B66,"CC6",'Control Matrix'!F2:F66,"Implemented")</f>
        <v>8</v>
      </c>
      <c r="E25" s="23" t="n">
        <f aca="false">COUNTIFS('Control Matrix'!B2:B66,"CC6",'Control Matrix'!F2:F66,"Partially Implemented")</f>
        <v>4</v>
      </c>
      <c r="F25" s="23" t="n">
        <f aca="false">COUNTIFS('Control Matrix'!B2:B66,"CC6",'Control Matrix'!F2:F66,"Not Implemented")</f>
        <v>0</v>
      </c>
      <c r="G25" s="23" t="n">
        <f aca="false">COUNTIFS('Control Matrix'!B2:B66,"CC6",'Control Matrix'!F2:F66,"Not Applicable")</f>
        <v>1</v>
      </c>
      <c r="H25" s="24" t="n">
        <f aca="false">IFERROR(D25/(C25-G25),0)</f>
        <v>0.666666666666667</v>
      </c>
    </row>
    <row r="26" customFormat="false" ht="15" hidden="false" customHeight="false" outlineLevel="0" collapsed="false">
      <c r="B26" s="22" t="s">
        <v>76</v>
      </c>
      <c r="C26" s="23" t="n">
        <f aca="false">COUNTIF('Control Matrix'!B2:B66,"CC7")</f>
        <v>10</v>
      </c>
      <c r="D26" s="23" t="n">
        <f aca="false">COUNTIFS('Control Matrix'!B2:B66,"CC7",'Control Matrix'!F2:F66,"Implemented")</f>
        <v>6</v>
      </c>
      <c r="E26" s="23" t="n">
        <f aca="false">COUNTIFS('Control Matrix'!B2:B66,"CC7",'Control Matrix'!F2:F66,"Partially Implemented")</f>
        <v>4</v>
      </c>
      <c r="F26" s="23" t="n">
        <f aca="false">COUNTIFS('Control Matrix'!B2:B66,"CC7",'Control Matrix'!F2:F66,"Not Implemented")</f>
        <v>0</v>
      </c>
      <c r="G26" s="23" t="n">
        <f aca="false">COUNTIFS('Control Matrix'!B2:B66,"CC7",'Control Matrix'!F2:F66,"Not Applicable")</f>
        <v>0</v>
      </c>
      <c r="H26" s="24" t="n">
        <f aca="false">IFERROR(D26/(C26-G26),0)</f>
        <v>0.6</v>
      </c>
    </row>
    <row r="27" customFormat="false" ht="15" hidden="false" customHeight="false" outlineLevel="0" collapsed="false">
      <c r="B27" s="22" t="s">
        <v>78</v>
      </c>
      <c r="C27" s="23" t="n">
        <f aca="false">COUNTIF('Control Matrix'!B2:B66,"CC8")</f>
        <v>5</v>
      </c>
      <c r="D27" s="23" t="n">
        <f aca="false">COUNTIFS('Control Matrix'!B2:B66,"CC8",'Control Matrix'!F2:F66,"Implemented")</f>
        <v>3</v>
      </c>
      <c r="E27" s="23" t="n">
        <f aca="false">COUNTIFS('Control Matrix'!B2:B66,"CC8",'Control Matrix'!F2:F66,"Partially Implemented")</f>
        <v>2</v>
      </c>
      <c r="F27" s="23" t="n">
        <f aca="false">COUNTIFS('Control Matrix'!B2:B66,"CC8",'Control Matrix'!F2:F66,"Not Implemented")</f>
        <v>0</v>
      </c>
      <c r="G27" s="23" t="n">
        <f aca="false">COUNTIFS('Control Matrix'!B2:B66,"CC8",'Control Matrix'!F2:F66,"Not Applicable")</f>
        <v>0</v>
      </c>
      <c r="H27" s="24" t="n">
        <f aca="false">IFERROR(D27/(C27-G27),0)</f>
        <v>0.6</v>
      </c>
    </row>
    <row r="28" customFormat="false" ht="15" hidden="false" customHeight="false" outlineLevel="0" collapsed="false">
      <c r="B28" s="22" t="s">
        <v>80</v>
      </c>
      <c r="C28" s="23" t="n">
        <f aca="false">COUNTIF('Control Matrix'!B2:B66,"CC9")</f>
        <v>12</v>
      </c>
      <c r="D28" s="23" t="n">
        <f aca="false">COUNTIFS('Control Matrix'!B2:B66,"CC9",'Control Matrix'!F2:F66,"Implemented")</f>
        <v>6</v>
      </c>
      <c r="E28" s="23" t="n">
        <f aca="false">COUNTIFS('Control Matrix'!B2:B66,"CC9",'Control Matrix'!F2:F66,"Partially Implemented")</f>
        <v>6</v>
      </c>
      <c r="F28" s="23" t="n">
        <f aca="false">COUNTIFS('Control Matrix'!B2:B66,"CC9",'Control Matrix'!F2:F66,"Not Implemented")</f>
        <v>0</v>
      </c>
      <c r="G28" s="23" t="n">
        <f aca="false">COUNTIFS('Control Matrix'!B2:B66,"CC9",'Control Matrix'!F2:F66,"Not Applicable")</f>
        <v>0</v>
      </c>
      <c r="H28" s="24" t="n">
        <f aca="false">IFERROR(D28/(C28-G28),0)</f>
        <v>0.5</v>
      </c>
    </row>
    <row r="29" customFormat="false" ht="15" hidden="false" customHeight="false" outlineLevel="0" collapsed="false">
      <c r="B29" s="25" t="s">
        <v>97</v>
      </c>
      <c r="C29" s="26" t="n">
        <f aca="false">SUM(C20:C28)</f>
        <v>65</v>
      </c>
      <c r="D29" s="26" t="n">
        <f aca="false">SUM(D20:D28)</f>
        <v>38</v>
      </c>
      <c r="E29" s="26" t="n">
        <f aca="false">SUM(E20:E28)</f>
        <v>25</v>
      </c>
      <c r="F29" s="26" t="n">
        <f aca="false">SUM(F20:F28)</f>
        <v>1</v>
      </c>
      <c r="G29" s="26" t="n">
        <f aca="false">SUM(G20:G28)</f>
        <v>1</v>
      </c>
      <c r="H29" s="27" t="n">
        <f aca="false">IFERROR(D29/(C29-G29),0)</f>
        <v>0.59375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7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60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50"/>
    <col collapsed="false" customWidth="true" hidden="false" outlineLevel="0" max="9" min="9" style="1" width="24"/>
    <col collapsed="false" customWidth="true" hidden="false" outlineLevel="0" max="10" min="10" style="1" width="14"/>
    <col collapsed="false" customWidth="true" hidden="false" outlineLevel="0" max="11" min="11" style="1" width="60"/>
  </cols>
  <sheetData>
    <row r="1" customFormat="false" ht="31.5" hidden="false" customHeight="true" outlineLevel="0" collapsed="false">
      <c r="A1" s="21" t="s">
        <v>98</v>
      </c>
      <c r="B1" s="21" t="s">
        <v>99</v>
      </c>
      <c r="C1" s="21" t="s">
        <v>92</v>
      </c>
      <c r="D1" s="21" t="s">
        <v>100</v>
      </c>
      <c r="E1" s="21" t="s">
        <v>101</v>
      </c>
      <c r="F1" s="21" t="s">
        <v>102</v>
      </c>
      <c r="G1" s="21" t="s">
        <v>54</v>
      </c>
      <c r="H1" s="21" t="s">
        <v>103</v>
      </c>
      <c r="I1" s="21" t="s">
        <v>104</v>
      </c>
      <c r="J1" s="21" t="s">
        <v>105</v>
      </c>
      <c r="K1" s="21" t="s">
        <v>106</v>
      </c>
    </row>
    <row r="2" customFormat="false" ht="60" hidden="false" customHeight="true" outlineLevel="0" collapsed="false">
      <c r="A2" s="28" t="s">
        <v>107</v>
      </c>
      <c r="B2" s="28" t="s">
        <v>64</v>
      </c>
      <c r="C2" s="28" t="s">
        <v>65</v>
      </c>
      <c r="D2" s="28" t="s">
        <v>108</v>
      </c>
      <c r="E2" s="28" t="s">
        <v>109</v>
      </c>
      <c r="F2" s="28" t="s">
        <v>37</v>
      </c>
      <c r="G2" s="28" t="s">
        <v>57</v>
      </c>
      <c r="H2" s="28" t="s">
        <v>110</v>
      </c>
      <c r="I2" s="28" t="s">
        <v>111</v>
      </c>
      <c r="J2" s="28" t="s">
        <v>50</v>
      </c>
      <c r="K2" s="28" t="s">
        <v>112</v>
      </c>
    </row>
    <row r="3" customFormat="false" ht="60" hidden="false" customHeight="true" outlineLevel="0" collapsed="false">
      <c r="A3" s="28" t="s">
        <v>113</v>
      </c>
      <c r="B3" s="28" t="s">
        <v>64</v>
      </c>
      <c r="C3" s="28" t="s">
        <v>65</v>
      </c>
      <c r="D3" s="28" t="s">
        <v>114</v>
      </c>
      <c r="E3" s="28" t="s">
        <v>115</v>
      </c>
      <c r="F3" s="28" t="s">
        <v>37</v>
      </c>
      <c r="G3" s="28" t="s">
        <v>55</v>
      </c>
      <c r="H3" s="28" t="s">
        <v>116</v>
      </c>
      <c r="I3" s="28" t="s">
        <v>111</v>
      </c>
      <c r="J3" s="28" t="s">
        <v>52</v>
      </c>
      <c r="K3" s="28" t="s">
        <v>117</v>
      </c>
    </row>
    <row r="4" customFormat="false" ht="60" hidden="false" customHeight="true" outlineLevel="0" collapsed="false">
      <c r="A4" s="28" t="s">
        <v>118</v>
      </c>
      <c r="B4" s="28" t="s">
        <v>64</v>
      </c>
      <c r="C4" s="28" t="s">
        <v>65</v>
      </c>
      <c r="D4" s="28" t="s">
        <v>119</v>
      </c>
      <c r="E4" s="28" t="s">
        <v>120</v>
      </c>
      <c r="F4" s="28" t="s">
        <v>39</v>
      </c>
      <c r="G4" s="28" t="s">
        <v>59</v>
      </c>
      <c r="H4" s="28" t="s">
        <v>121</v>
      </c>
      <c r="I4" s="28" t="s">
        <v>122</v>
      </c>
      <c r="J4" s="28" t="s">
        <v>48</v>
      </c>
      <c r="K4" s="28" t="s">
        <v>123</v>
      </c>
    </row>
    <row r="5" customFormat="false" ht="60" hidden="false" customHeight="true" outlineLevel="0" collapsed="false">
      <c r="A5" s="28" t="s">
        <v>124</v>
      </c>
      <c r="B5" s="28" t="s">
        <v>64</v>
      </c>
      <c r="C5" s="28" t="s">
        <v>65</v>
      </c>
      <c r="D5" s="28" t="s">
        <v>125</v>
      </c>
      <c r="E5" s="28" t="s">
        <v>126</v>
      </c>
      <c r="F5" s="28" t="s">
        <v>37</v>
      </c>
      <c r="G5" s="28" t="s">
        <v>57</v>
      </c>
      <c r="H5" s="28" t="s">
        <v>127</v>
      </c>
      <c r="I5" s="28" t="s">
        <v>128</v>
      </c>
      <c r="J5" s="28" t="s">
        <v>52</v>
      </c>
      <c r="K5" s="28" t="s">
        <v>117</v>
      </c>
    </row>
    <row r="6" customFormat="false" ht="60" hidden="false" customHeight="true" outlineLevel="0" collapsed="false">
      <c r="A6" s="28" t="s">
        <v>129</v>
      </c>
      <c r="B6" s="28" t="s">
        <v>64</v>
      </c>
      <c r="C6" s="28" t="s">
        <v>65</v>
      </c>
      <c r="D6" s="28" t="s">
        <v>130</v>
      </c>
      <c r="E6" s="28" t="s">
        <v>131</v>
      </c>
      <c r="F6" s="28" t="s">
        <v>37</v>
      </c>
      <c r="G6" s="28" t="s">
        <v>57</v>
      </c>
      <c r="H6" s="28" t="s">
        <v>132</v>
      </c>
      <c r="I6" s="28" t="s">
        <v>111</v>
      </c>
      <c r="J6" s="28" t="s">
        <v>50</v>
      </c>
      <c r="K6" s="28" t="s">
        <v>133</v>
      </c>
    </row>
    <row r="7" customFormat="false" ht="60" hidden="false" customHeight="true" outlineLevel="0" collapsed="false">
      <c r="A7" s="28" t="s">
        <v>134</v>
      </c>
      <c r="B7" s="28" t="s">
        <v>64</v>
      </c>
      <c r="C7" s="28" t="s">
        <v>65</v>
      </c>
      <c r="D7" s="28" t="s">
        <v>135</v>
      </c>
      <c r="E7" s="28" t="s">
        <v>136</v>
      </c>
      <c r="F7" s="28" t="s">
        <v>39</v>
      </c>
      <c r="G7" s="28" t="s">
        <v>59</v>
      </c>
      <c r="H7" s="28" t="s">
        <v>137</v>
      </c>
      <c r="I7" s="28" t="s">
        <v>138</v>
      </c>
      <c r="J7" s="28" t="s">
        <v>46</v>
      </c>
      <c r="K7" s="28" t="s">
        <v>139</v>
      </c>
    </row>
    <row r="8" customFormat="false" ht="60" hidden="false" customHeight="true" outlineLevel="0" collapsed="false">
      <c r="A8" s="28" t="s">
        <v>140</v>
      </c>
      <c r="B8" s="28" t="s">
        <v>64</v>
      </c>
      <c r="C8" s="28" t="s">
        <v>65</v>
      </c>
      <c r="D8" s="28" t="s">
        <v>141</v>
      </c>
      <c r="E8" s="28" t="s">
        <v>142</v>
      </c>
      <c r="F8" s="28" t="s">
        <v>37</v>
      </c>
      <c r="G8" s="28" t="s">
        <v>57</v>
      </c>
      <c r="H8" s="28" t="s">
        <v>143</v>
      </c>
      <c r="I8" s="28" t="s">
        <v>111</v>
      </c>
      <c r="J8" s="28" t="s">
        <v>52</v>
      </c>
      <c r="K8" s="28" t="s">
        <v>117</v>
      </c>
    </row>
    <row r="9" customFormat="false" ht="60" hidden="false" customHeight="true" outlineLevel="0" collapsed="false">
      <c r="A9" s="28" t="s">
        <v>144</v>
      </c>
      <c r="B9" s="28" t="s">
        <v>66</v>
      </c>
      <c r="C9" s="28" t="s">
        <v>67</v>
      </c>
      <c r="D9" s="28" t="s">
        <v>145</v>
      </c>
      <c r="E9" s="28" t="s">
        <v>146</v>
      </c>
      <c r="F9" s="28" t="s">
        <v>37</v>
      </c>
      <c r="G9" s="28" t="s">
        <v>55</v>
      </c>
      <c r="H9" s="28" t="s">
        <v>147</v>
      </c>
      <c r="I9" s="28" t="s">
        <v>148</v>
      </c>
      <c r="J9" s="28" t="s">
        <v>52</v>
      </c>
      <c r="K9" s="28" t="s">
        <v>117</v>
      </c>
    </row>
    <row r="10" customFormat="false" ht="60" hidden="false" customHeight="true" outlineLevel="0" collapsed="false">
      <c r="A10" s="28" t="s">
        <v>149</v>
      </c>
      <c r="B10" s="28" t="s">
        <v>66</v>
      </c>
      <c r="C10" s="28" t="s">
        <v>67</v>
      </c>
      <c r="D10" s="28" t="s">
        <v>150</v>
      </c>
      <c r="E10" s="28" t="s">
        <v>151</v>
      </c>
      <c r="F10" s="28" t="s">
        <v>37</v>
      </c>
      <c r="G10" s="28" t="s">
        <v>57</v>
      </c>
      <c r="H10" s="28" t="s">
        <v>152</v>
      </c>
      <c r="I10" s="28" t="s">
        <v>138</v>
      </c>
      <c r="J10" s="28" t="s">
        <v>50</v>
      </c>
      <c r="K10" s="28" t="s">
        <v>153</v>
      </c>
    </row>
    <row r="11" customFormat="false" ht="60" hidden="false" customHeight="true" outlineLevel="0" collapsed="false">
      <c r="A11" s="28" t="s">
        <v>154</v>
      </c>
      <c r="B11" s="28" t="s">
        <v>66</v>
      </c>
      <c r="C11" s="28" t="s">
        <v>67</v>
      </c>
      <c r="D11" s="28" t="s">
        <v>155</v>
      </c>
      <c r="E11" s="28" t="s">
        <v>156</v>
      </c>
      <c r="F11" s="28" t="s">
        <v>37</v>
      </c>
      <c r="G11" s="28" t="s">
        <v>57</v>
      </c>
      <c r="H11" s="28" t="s">
        <v>157</v>
      </c>
      <c r="I11" s="28" t="s">
        <v>158</v>
      </c>
      <c r="J11" s="28" t="s">
        <v>52</v>
      </c>
      <c r="K11" s="28" t="s">
        <v>117</v>
      </c>
    </row>
    <row r="12" customFormat="false" ht="60" hidden="false" customHeight="true" outlineLevel="0" collapsed="false">
      <c r="A12" s="28" t="s">
        <v>159</v>
      </c>
      <c r="B12" s="28" t="s">
        <v>66</v>
      </c>
      <c r="C12" s="28" t="s">
        <v>67</v>
      </c>
      <c r="D12" s="28" t="s">
        <v>160</v>
      </c>
      <c r="E12" s="28" t="s">
        <v>161</v>
      </c>
      <c r="F12" s="28" t="s">
        <v>39</v>
      </c>
      <c r="G12" s="28" t="s">
        <v>59</v>
      </c>
      <c r="H12" s="28" t="s">
        <v>162</v>
      </c>
      <c r="I12" s="28" t="s">
        <v>163</v>
      </c>
      <c r="J12" s="28" t="s">
        <v>48</v>
      </c>
      <c r="K12" s="28" t="s">
        <v>164</v>
      </c>
    </row>
    <row r="13" customFormat="false" ht="60" hidden="false" customHeight="true" outlineLevel="0" collapsed="false">
      <c r="A13" s="28" t="s">
        <v>165</v>
      </c>
      <c r="B13" s="28" t="s">
        <v>66</v>
      </c>
      <c r="C13" s="28" t="s">
        <v>67</v>
      </c>
      <c r="D13" s="28" t="s">
        <v>166</v>
      </c>
      <c r="E13" s="28" t="s">
        <v>167</v>
      </c>
      <c r="F13" s="28" t="s">
        <v>39</v>
      </c>
      <c r="G13" s="28" t="s">
        <v>59</v>
      </c>
      <c r="H13" s="28" t="s">
        <v>168</v>
      </c>
      <c r="I13" s="28" t="s">
        <v>169</v>
      </c>
      <c r="J13" s="28" t="s">
        <v>46</v>
      </c>
      <c r="K13" s="28" t="s">
        <v>170</v>
      </c>
    </row>
    <row r="14" customFormat="false" ht="60" hidden="false" customHeight="true" outlineLevel="0" collapsed="false">
      <c r="A14" s="28" t="s">
        <v>171</v>
      </c>
      <c r="B14" s="28" t="s">
        <v>68</v>
      </c>
      <c r="C14" s="28" t="s">
        <v>69</v>
      </c>
      <c r="D14" s="28" t="s">
        <v>172</v>
      </c>
      <c r="E14" s="28" t="s">
        <v>173</v>
      </c>
      <c r="F14" s="28" t="s">
        <v>37</v>
      </c>
      <c r="G14" s="28" t="s">
        <v>57</v>
      </c>
      <c r="H14" s="28" t="s">
        <v>174</v>
      </c>
      <c r="I14" s="28" t="s">
        <v>138</v>
      </c>
      <c r="J14" s="28" t="s">
        <v>52</v>
      </c>
      <c r="K14" s="28" t="s">
        <v>175</v>
      </c>
    </row>
    <row r="15" customFormat="false" ht="60" hidden="false" customHeight="true" outlineLevel="0" collapsed="false">
      <c r="A15" s="28" t="s">
        <v>176</v>
      </c>
      <c r="B15" s="28" t="s">
        <v>68</v>
      </c>
      <c r="C15" s="28" t="s">
        <v>69</v>
      </c>
      <c r="D15" s="28" t="s">
        <v>177</v>
      </c>
      <c r="E15" s="28" t="s">
        <v>178</v>
      </c>
      <c r="F15" s="28" t="s">
        <v>37</v>
      </c>
      <c r="G15" s="28" t="s">
        <v>57</v>
      </c>
      <c r="H15" s="28" t="s">
        <v>179</v>
      </c>
      <c r="I15" s="28" t="s">
        <v>180</v>
      </c>
      <c r="J15" s="28" t="s">
        <v>52</v>
      </c>
      <c r="K15" s="28" t="s">
        <v>117</v>
      </c>
    </row>
    <row r="16" customFormat="false" ht="60" hidden="false" customHeight="true" outlineLevel="0" collapsed="false">
      <c r="A16" s="28" t="s">
        <v>181</v>
      </c>
      <c r="B16" s="28" t="s">
        <v>68</v>
      </c>
      <c r="C16" s="28" t="s">
        <v>69</v>
      </c>
      <c r="D16" s="28" t="s">
        <v>182</v>
      </c>
      <c r="E16" s="28" t="s">
        <v>183</v>
      </c>
      <c r="F16" s="28" t="s">
        <v>41</v>
      </c>
      <c r="G16" s="28" t="s">
        <v>61</v>
      </c>
      <c r="H16" s="28" t="s">
        <v>184</v>
      </c>
      <c r="I16" s="28" t="s">
        <v>185</v>
      </c>
      <c r="J16" s="28" t="s">
        <v>48</v>
      </c>
      <c r="K16" s="28" t="s">
        <v>186</v>
      </c>
    </row>
    <row r="17" customFormat="false" ht="60" hidden="false" customHeight="true" outlineLevel="0" collapsed="false">
      <c r="A17" s="28" t="s">
        <v>187</v>
      </c>
      <c r="B17" s="28" t="s">
        <v>68</v>
      </c>
      <c r="C17" s="28" t="s">
        <v>69</v>
      </c>
      <c r="D17" s="28" t="s">
        <v>188</v>
      </c>
      <c r="E17" s="28" t="s">
        <v>189</v>
      </c>
      <c r="F17" s="28" t="s">
        <v>39</v>
      </c>
      <c r="G17" s="28" t="s">
        <v>59</v>
      </c>
      <c r="H17" s="28" t="s">
        <v>190</v>
      </c>
      <c r="I17" s="28" t="s">
        <v>191</v>
      </c>
      <c r="J17" s="28" t="s">
        <v>50</v>
      </c>
      <c r="K17" s="28" t="s">
        <v>192</v>
      </c>
    </row>
    <row r="18" customFormat="false" ht="60" hidden="false" customHeight="true" outlineLevel="0" collapsed="false">
      <c r="A18" s="28" t="s">
        <v>193</v>
      </c>
      <c r="B18" s="28" t="s">
        <v>68</v>
      </c>
      <c r="C18" s="28" t="s">
        <v>69</v>
      </c>
      <c r="D18" s="28" t="s">
        <v>194</v>
      </c>
      <c r="E18" s="28" t="s">
        <v>195</v>
      </c>
      <c r="F18" s="28" t="s">
        <v>37</v>
      </c>
      <c r="G18" s="28" t="s">
        <v>57</v>
      </c>
      <c r="H18" s="28" t="s">
        <v>196</v>
      </c>
      <c r="I18" s="28" t="s">
        <v>197</v>
      </c>
      <c r="J18" s="28" t="s">
        <v>50</v>
      </c>
      <c r="K18" s="28" t="s">
        <v>198</v>
      </c>
    </row>
    <row r="19" customFormat="false" ht="60" hidden="false" customHeight="true" outlineLevel="0" collapsed="false">
      <c r="A19" s="28" t="s">
        <v>199</v>
      </c>
      <c r="B19" s="28" t="s">
        <v>70</v>
      </c>
      <c r="C19" s="28" t="s">
        <v>71</v>
      </c>
      <c r="D19" s="28" t="s">
        <v>200</v>
      </c>
      <c r="E19" s="28" t="s">
        <v>201</v>
      </c>
      <c r="F19" s="28" t="s">
        <v>39</v>
      </c>
      <c r="G19" s="28" t="s">
        <v>59</v>
      </c>
      <c r="H19" s="28" t="s">
        <v>202</v>
      </c>
      <c r="I19" s="28" t="s">
        <v>138</v>
      </c>
      <c r="J19" s="28" t="s">
        <v>48</v>
      </c>
      <c r="K19" s="28" t="s">
        <v>203</v>
      </c>
    </row>
    <row r="20" customFormat="false" ht="60" hidden="false" customHeight="true" outlineLevel="0" collapsed="false">
      <c r="A20" s="28" t="s">
        <v>204</v>
      </c>
      <c r="B20" s="28" t="s">
        <v>70</v>
      </c>
      <c r="C20" s="28" t="s">
        <v>71</v>
      </c>
      <c r="D20" s="28" t="s">
        <v>205</v>
      </c>
      <c r="E20" s="28" t="s">
        <v>206</v>
      </c>
      <c r="F20" s="28" t="s">
        <v>37</v>
      </c>
      <c r="G20" s="28" t="s">
        <v>55</v>
      </c>
      <c r="H20" s="28" t="s">
        <v>207</v>
      </c>
      <c r="I20" s="28" t="s">
        <v>148</v>
      </c>
      <c r="J20" s="28" t="s">
        <v>52</v>
      </c>
      <c r="K20" s="28" t="s">
        <v>117</v>
      </c>
    </row>
    <row r="21" customFormat="false" ht="60" hidden="false" customHeight="true" outlineLevel="0" collapsed="false">
      <c r="A21" s="28" t="s">
        <v>208</v>
      </c>
      <c r="B21" s="28" t="s">
        <v>70</v>
      </c>
      <c r="C21" s="28" t="s">
        <v>71</v>
      </c>
      <c r="D21" s="28" t="s">
        <v>209</v>
      </c>
      <c r="E21" s="28" t="s">
        <v>210</v>
      </c>
      <c r="F21" s="28" t="s">
        <v>39</v>
      </c>
      <c r="G21" s="28" t="s">
        <v>59</v>
      </c>
      <c r="H21" s="28" t="s">
        <v>211</v>
      </c>
      <c r="I21" s="28" t="s">
        <v>138</v>
      </c>
      <c r="J21" s="28" t="s">
        <v>50</v>
      </c>
      <c r="K21" s="28" t="s">
        <v>212</v>
      </c>
    </row>
    <row r="22" customFormat="false" ht="60" hidden="false" customHeight="true" outlineLevel="0" collapsed="false">
      <c r="A22" s="28" t="s">
        <v>213</v>
      </c>
      <c r="B22" s="28" t="s">
        <v>70</v>
      </c>
      <c r="C22" s="28" t="s">
        <v>71</v>
      </c>
      <c r="D22" s="28" t="s">
        <v>214</v>
      </c>
      <c r="E22" s="28" t="s">
        <v>215</v>
      </c>
      <c r="F22" s="28" t="s">
        <v>37</v>
      </c>
      <c r="G22" s="28" t="s">
        <v>57</v>
      </c>
      <c r="H22" s="28" t="s">
        <v>216</v>
      </c>
      <c r="I22" s="28" t="s">
        <v>138</v>
      </c>
      <c r="J22" s="28" t="s">
        <v>52</v>
      </c>
      <c r="K22" s="28" t="s">
        <v>117</v>
      </c>
    </row>
    <row r="23" customFormat="false" ht="60" hidden="false" customHeight="true" outlineLevel="0" collapsed="false">
      <c r="A23" s="28" t="s">
        <v>217</v>
      </c>
      <c r="B23" s="28" t="s">
        <v>72</v>
      </c>
      <c r="C23" s="28" t="s">
        <v>73</v>
      </c>
      <c r="D23" s="28" t="s">
        <v>218</v>
      </c>
      <c r="E23" s="28" t="s">
        <v>219</v>
      </c>
      <c r="F23" s="28" t="s">
        <v>37</v>
      </c>
      <c r="G23" s="28" t="s">
        <v>57</v>
      </c>
      <c r="H23" s="28" t="s">
        <v>220</v>
      </c>
      <c r="I23" s="28" t="s">
        <v>138</v>
      </c>
      <c r="J23" s="28" t="s">
        <v>52</v>
      </c>
      <c r="K23" s="28" t="s">
        <v>117</v>
      </c>
    </row>
    <row r="24" customFormat="false" ht="60" hidden="false" customHeight="true" outlineLevel="0" collapsed="false">
      <c r="A24" s="28" t="s">
        <v>221</v>
      </c>
      <c r="B24" s="28" t="s">
        <v>72</v>
      </c>
      <c r="C24" s="28" t="s">
        <v>73</v>
      </c>
      <c r="D24" s="28" t="s">
        <v>222</v>
      </c>
      <c r="E24" s="28" t="s">
        <v>223</v>
      </c>
      <c r="F24" s="28" t="s">
        <v>37</v>
      </c>
      <c r="G24" s="28" t="s">
        <v>55</v>
      </c>
      <c r="H24" s="28" t="s">
        <v>224</v>
      </c>
      <c r="I24" s="28" t="s">
        <v>225</v>
      </c>
      <c r="J24" s="28" t="s">
        <v>52</v>
      </c>
      <c r="K24" s="28" t="s">
        <v>117</v>
      </c>
    </row>
    <row r="25" customFormat="false" ht="60" hidden="false" customHeight="true" outlineLevel="0" collapsed="false">
      <c r="A25" s="28" t="s">
        <v>226</v>
      </c>
      <c r="B25" s="28" t="s">
        <v>72</v>
      </c>
      <c r="C25" s="28" t="s">
        <v>73</v>
      </c>
      <c r="D25" s="28" t="s">
        <v>227</v>
      </c>
      <c r="E25" s="28" t="s">
        <v>228</v>
      </c>
      <c r="F25" s="28" t="s">
        <v>39</v>
      </c>
      <c r="G25" s="28" t="s">
        <v>57</v>
      </c>
      <c r="H25" s="28" t="s">
        <v>229</v>
      </c>
      <c r="I25" s="28" t="s">
        <v>138</v>
      </c>
      <c r="J25" s="28" t="s">
        <v>48</v>
      </c>
      <c r="K25" s="28" t="s">
        <v>230</v>
      </c>
    </row>
    <row r="26" customFormat="false" ht="60" hidden="false" customHeight="true" outlineLevel="0" collapsed="false">
      <c r="A26" s="28" t="s">
        <v>231</v>
      </c>
      <c r="B26" s="28" t="s">
        <v>72</v>
      </c>
      <c r="C26" s="28" t="s">
        <v>73</v>
      </c>
      <c r="D26" s="28" t="s">
        <v>232</v>
      </c>
      <c r="E26" s="28" t="s">
        <v>233</v>
      </c>
      <c r="F26" s="28" t="s">
        <v>39</v>
      </c>
      <c r="G26" s="28" t="s">
        <v>59</v>
      </c>
      <c r="H26" s="28" t="s">
        <v>234</v>
      </c>
      <c r="I26" s="28" t="s">
        <v>191</v>
      </c>
      <c r="J26" s="28" t="s">
        <v>48</v>
      </c>
      <c r="K26" s="28" t="s">
        <v>235</v>
      </c>
    </row>
    <row r="27" customFormat="false" ht="60" hidden="false" customHeight="true" outlineLevel="0" collapsed="false">
      <c r="A27" s="28" t="s">
        <v>236</v>
      </c>
      <c r="B27" s="28" t="s">
        <v>74</v>
      </c>
      <c r="C27" s="28" t="s">
        <v>237</v>
      </c>
      <c r="D27" s="28" t="s">
        <v>238</v>
      </c>
      <c r="E27" s="28" t="s">
        <v>239</v>
      </c>
      <c r="F27" s="28" t="s">
        <v>37</v>
      </c>
      <c r="G27" s="28" t="s">
        <v>55</v>
      </c>
      <c r="H27" s="28" t="s">
        <v>240</v>
      </c>
      <c r="I27" s="28" t="s">
        <v>241</v>
      </c>
      <c r="J27" s="28" t="s">
        <v>52</v>
      </c>
      <c r="K27" s="28" t="s">
        <v>117</v>
      </c>
    </row>
    <row r="28" customFormat="false" ht="60" hidden="false" customHeight="true" outlineLevel="0" collapsed="false">
      <c r="A28" s="28" t="s">
        <v>242</v>
      </c>
      <c r="B28" s="28" t="s">
        <v>74</v>
      </c>
      <c r="C28" s="28" t="s">
        <v>237</v>
      </c>
      <c r="D28" s="28" t="s">
        <v>243</v>
      </c>
      <c r="E28" s="28" t="s">
        <v>244</v>
      </c>
      <c r="F28" s="28" t="s">
        <v>37</v>
      </c>
      <c r="G28" s="28" t="s">
        <v>55</v>
      </c>
      <c r="H28" s="28" t="s">
        <v>245</v>
      </c>
      <c r="I28" s="28" t="s">
        <v>241</v>
      </c>
      <c r="J28" s="28" t="s">
        <v>52</v>
      </c>
      <c r="K28" s="28" t="s">
        <v>117</v>
      </c>
    </row>
    <row r="29" customFormat="false" ht="60" hidden="false" customHeight="true" outlineLevel="0" collapsed="false">
      <c r="A29" s="28" t="s">
        <v>246</v>
      </c>
      <c r="B29" s="28" t="s">
        <v>74</v>
      </c>
      <c r="C29" s="28" t="s">
        <v>237</v>
      </c>
      <c r="D29" s="28" t="s">
        <v>247</v>
      </c>
      <c r="E29" s="28" t="s">
        <v>248</v>
      </c>
      <c r="F29" s="28" t="s">
        <v>39</v>
      </c>
      <c r="G29" s="28" t="s">
        <v>57</v>
      </c>
      <c r="H29" s="28" t="s">
        <v>249</v>
      </c>
      <c r="I29" s="28" t="s">
        <v>148</v>
      </c>
      <c r="J29" s="28" t="s">
        <v>48</v>
      </c>
      <c r="K29" s="28" t="s">
        <v>250</v>
      </c>
    </row>
    <row r="30" customFormat="false" ht="60" hidden="false" customHeight="true" outlineLevel="0" collapsed="false">
      <c r="A30" s="28" t="s">
        <v>251</v>
      </c>
      <c r="B30" s="28" t="s">
        <v>74</v>
      </c>
      <c r="C30" s="28" t="s">
        <v>237</v>
      </c>
      <c r="D30" s="28" t="s">
        <v>252</v>
      </c>
      <c r="E30" s="28" t="s">
        <v>253</v>
      </c>
      <c r="F30" s="28" t="s">
        <v>39</v>
      </c>
      <c r="G30" s="28" t="s">
        <v>59</v>
      </c>
      <c r="H30" s="28" t="s">
        <v>254</v>
      </c>
      <c r="I30" s="28" t="s">
        <v>148</v>
      </c>
      <c r="J30" s="28" t="s">
        <v>48</v>
      </c>
      <c r="K30" s="28" t="s">
        <v>255</v>
      </c>
    </row>
    <row r="31" customFormat="false" ht="60" hidden="false" customHeight="true" outlineLevel="0" collapsed="false">
      <c r="A31" s="28" t="s">
        <v>256</v>
      </c>
      <c r="B31" s="28" t="s">
        <v>74</v>
      </c>
      <c r="C31" s="28" t="s">
        <v>237</v>
      </c>
      <c r="D31" s="28" t="s">
        <v>257</v>
      </c>
      <c r="E31" s="28" t="s">
        <v>258</v>
      </c>
      <c r="F31" s="28" t="s">
        <v>39</v>
      </c>
      <c r="G31" s="28" t="s">
        <v>59</v>
      </c>
      <c r="H31" s="28" t="s">
        <v>259</v>
      </c>
      <c r="I31" s="28" t="s">
        <v>260</v>
      </c>
      <c r="J31" s="28" t="s">
        <v>46</v>
      </c>
      <c r="K31" s="28" t="s">
        <v>261</v>
      </c>
    </row>
    <row r="32" customFormat="false" ht="60" hidden="false" customHeight="true" outlineLevel="0" collapsed="false">
      <c r="A32" s="28" t="s">
        <v>262</v>
      </c>
      <c r="B32" s="28" t="s">
        <v>74</v>
      </c>
      <c r="C32" s="28" t="s">
        <v>237</v>
      </c>
      <c r="D32" s="28" t="s">
        <v>263</v>
      </c>
      <c r="E32" s="28" t="s">
        <v>264</v>
      </c>
      <c r="F32" s="28" t="s">
        <v>37</v>
      </c>
      <c r="G32" s="28" t="s">
        <v>55</v>
      </c>
      <c r="H32" s="28" t="s">
        <v>265</v>
      </c>
      <c r="I32" s="28" t="s">
        <v>241</v>
      </c>
      <c r="J32" s="28" t="s">
        <v>52</v>
      </c>
      <c r="K32" s="28" t="s">
        <v>117</v>
      </c>
    </row>
    <row r="33" customFormat="false" ht="60" hidden="false" customHeight="true" outlineLevel="0" collapsed="false">
      <c r="A33" s="28" t="s">
        <v>266</v>
      </c>
      <c r="B33" s="28" t="s">
        <v>74</v>
      </c>
      <c r="C33" s="28" t="s">
        <v>237</v>
      </c>
      <c r="D33" s="28" t="s">
        <v>267</v>
      </c>
      <c r="E33" s="28" t="s">
        <v>268</v>
      </c>
      <c r="F33" s="28" t="s">
        <v>37</v>
      </c>
      <c r="G33" s="28" t="s">
        <v>57</v>
      </c>
      <c r="H33" s="28" t="s">
        <v>269</v>
      </c>
      <c r="I33" s="28" t="s">
        <v>241</v>
      </c>
      <c r="J33" s="28" t="s">
        <v>52</v>
      </c>
      <c r="K33" s="28" t="s">
        <v>117</v>
      </c>
    </row>
    <row r="34" customFormat="false" ht="60" hidden="false" customHeight="true" outlineLevel="0" collapsed="false">
      <c r="A34" s="28" t="s">
        <v>270</v>
      </c>
      <c r="B34" s="28" t="s">
        <v>74</v>
      </c>
      <c r="C34" s="28" t="s">
        <v>237</v>
      </c>
      <c r="D34" s="28" t="s">
        <v>271</v>
      </c>
      <c r="E34" s="28" t="s">
        <v>272</v>
      </c>
      <c r="F34" s="28" t="s">
        <v>37</v>
      </c>
      <c r="G34" s="28" t="s">
        <v>57</v>
      </c>
      <c r="H34" s="28" t="s">
        <v>273</v>
      </c>
      <c r="I34" s="28" t="s">
        <v>274</v>
      </c>
      <c r="J34" s="28" t="s">
        <v>52</v>
      </c>
      <c r="K34" s="28" t="s">
        <v>117</v>
      </c>
    </row>
    <row r="35" customFormat="false" ht="60" hidden="false" customHeight="true" outlineLevel="0" collapsed="false">
      <c r="A35" s="28" t="s">
        <v>275</v>
      </c>
      <c r="B35" s="28" t="s">
        <v>74</v>
      </c>
      <c r="C35" s="28" t="s">
        <v>237</v>
      </c>
      <c r="D35" s="28" t="s">
        <v>276</v>
      </c>
      <c r="E35" s="28" t="s">
        <v>277</v>
      </c>
      <c r="F35" s="28" t="s">
        <v>43</v>
      </c>
      <c r="G35" s="28" t="s">
        <v>61</v>
      </c>
      <c r="H35" s="28" t="s">
        <v>278</v>
      </c>
      <c r="I35" s="28" t="s">
        <v>61</v>
      </c>
      <c r="J35" s="28" t="s">
        <v>52</v>
      </c>
      <c r="K35" s="28" t="s">
        <v>279</v>
      </c>
    </row>
    <row r="36" customFormat="false" ht="60" hidden="false" customHeight="true" outlineLevel="0" collapsed="false">
      <c r="A36" s="28" t="s">
        <v>280</v>
      </c>
      <c r="B36" s="28" t="s">
        <v>74</v>
      </c>
      <c r="C36" s="28" t="s">
        <v>237</v>
      </c>
      <c r="D36" s="28" t="s">
        <v>281</v>
      </c>
      <c r="E36" s="28" t="s">
        <v>282</v>
      </c>
      <c r="F36" s="28" t="s">
        <v>39</v>
      </c>
      <c r="G36" s="28" t="s">
        <v>59</v>
      </c>
      <c r="H36" s="28" t="s">
        <v>283</v>
      </c>
      <c r="I36" s="28" t="s">
        <v>284</v>
      </c>
      <c r="J36" s="28" t="s">
        <v>50</v>
      </c>
      <c r="K36" s="28" t="s">
        <v>285</v>
      </c>
    </row>
    <row r="37" customFormat="false" ht="60" hidden="false" customHeight="true" outlineLevel="0" collapsed="false">
      <c r="A37" s="28" t="s">
        <v>286</v>
      </c>
      <c r="B37" s="28" t="s">
        <v>74</v>
      </c>
      <c r="C37" s="28" t="s">
        <v>237</v>
      </c>
      <c r="D37" s="28" t="s">
        <v>287</v>
      </c>
      <c r="E37" s="28" t="s">
        <v>288</v>
      </c>
      <c r="F37" s="28" t="s">
        <v>37</v>
      </c>
      <c r="G37" s="28" t="s">
        <v>55</v>
      </c>
      <c r="H37" s="28" t="s">
        <v>289</v>
      </c>
      <c r="I37" s="28" t="s">
        <v>290</v>
      </c>
      <c r="J37" s="28" t="s">
        <v>52</v>
      </c>
      <c r="K37" s="28" t="s">
        <v>117</v>
      </c>
    </row>
    <row r="38" customFormat="false" ht="60" hidden="false" customHeight="true" outlineLevel="0" collapsed="false">
      <c r="A38" s="28" t="s">
        <v>291</v>
      </c>
      <c r="B38" s="28" t="s">
        <v>74</v>
      </c>
      <c r="C38" s="28" t="s">
        <v>237</v>
      </c>
      <c r="D38" s="28" t="s">
        <v>292</v>
      </c>
      <c r="E38" s="28" t="s">
        <v>293</v>
      </c>
      <c r="F38" s="28" t="s">
        <v>37</v>
      </c>
      <c r="G38" s="28" t="s">
        <v>55</v>
      </c>
      <c r="H38" s="28" t="s">
        <v>294</v>
      </c>
      <c r="I38" s="28" t="s">
        <v>290</v>
      </c>
      <c r="J38" s="28" t="s">
        <v>52</v>
      </c>
      <c r="K38" s="28" t="s">
        <v>117</v>
      </c>
    </row>
    <row r="39" customFormat="false" ht="60" hidden="false" customHeight="true" outlineLevel="0" collapsed="false">
      <c r="A39" s="28" t="s">
        <v>295</v>
      </c>
      <c r="B39" s="28" t="s">
        <v>74</v>
      </c>
      <c r="C39" s="28" t="s">
        <v>237</v>
      </c>
      <c r="D39" s="28" t="s">
        <v>296</v>
      </c>
      <c r="E39" s="28" t="s">
        <v>297</v>
      </c>
      <c r="F39" s="28" t="s">
        <v>37</v>
      </c>
      <c r="G39" s="28" t="s">
        <v>55</v>
      </c>
      <c r="H39" s="28" t="s">
        <v>298</v>
      </c>
      <c r="I39" s="28" t="s">
        <v>290</v>
      </c>
      <c r="J39" s="28" t="s">
        <v>52</v>
      </c>
      <c r="K39" s="28" t="s">
        <v>117</v>
      </c>
    </row>
    <row r="40" customFormat="false" ht="60" hidden="false" customHeight="true" outlineLevel="0" collapsed="false">
      <c r="A40" s="28" t="s">
        <v>299</v>
      </c>
      <c r="B40" s="28" t="s">
        <v>76</v>
      </c>
      <c r="C40" s="28" t="s">
        <v>77</v>
      </c>
      <c r="D40" s="28" t="s">
        <v>300</v>
      </c>
      <c r="E40" s="28" t="s">
        <v>301</v>
      </c>
      <c r="F40" s="28" t="s">
        <v>37</v>
      </c>
      <c r="G40" s="28" t="s">
        <v>55</v>
      </c>
      <c r="H40" s="28" t="s">
        <v>302</v>
      </c>
      <c r="I40" s="28" t="s">
        <v>148</v>
      </c>
      <c r="J40" s="28" t="s">
        <v>52</v>
      </c>
      <c r="K40" s="28" t="s">
        <v>117</v>
      </c>
    </row>
    <row r="41" customFormat="false" ht="60" hidden="false" customHeight="true" outlineLevel="0" collapsed="false">
      <c r="A41" s="28" t="s">
        <v>303</v>
      </c>
      <c r="B41" s="28" t="s">
        <v>76</v>
      </c>
      <c r="C41" s="28" t="s">
        <v>77</v>
      </c>
      <c r="D41" s="28" t="s">
        <v>304</v>
      </c>
      <c r="E41" s="28" t="s">
        <v>305</v>
      </c>
      <c r="F41" s="28" t="s">
        <v>39</v>
      </c>
      <c r="G41" s="28" t="s">
        <v>57</v>
      </c>
      <c r="H41" s="28" t="s">
        <v>306</v>
      </c>
      <c r="I41" s="28" t="s">
        <v>148</v>
      </c>
      <c r="J41" s="28" t="s">
        <v>48</v>
      </c>
      <c r="K41" s="28" t="s">
        <v>307</v>
      </c>
    </row>
    <row r="42" customFormat="false" ht="60" hidden="false" customHeight="true" outlineLevel="0" collapsed="false">
      <c r="A42" s="28" t="s">
        <v>308</v>
      </c>
      <c r="B42" s="28" t="s">
        <v>76</v>
      </c>
      <c r="C42" s="28" t="s">
        <v>77</v>
      </c>
      <c r="D42" s="28" t="s">
        <v>309</v>
      </c>
      <c r="E42" s="28" t="s">
        <v>310</v>
      </c>
      <c r="F42" s="28" t="s">
        <v>37</v>
      </c>
      <c r="G42" s="28" t="s">
        <v>57</v>
      </c>
      <c r="H42" s="28" t="s">
        <v>311</v>
      </c>
      <c r="I42" s="28" t="s">
        <v>290</v>
      </c>
      <c r="J42" s="28" t="s">
        <v>52</v>
      </c>
      <c r="K42" s="28" t="s">
        <v>117</v>
      </c>
    </row>
    <row r="43" customFormat="false" ht="60" hidden="false" customHeight="true" outlineLevel="0" collapsed="false">
      <c r="A43" s="28" t="s">
        <v>312</v>
      </c>
      <c r="B43" s="28" t="s">
        <v>76</v>
      </c>
      <c r="C43" s="28" t="s">
        <v>77</v>
      </c>
      <c r="D43" s="28" t="s">
        <v>313</v>
      </c>
      <c r="E43" s="28" t="s">
        <v>314</v>
      </c>
      <c r="F43" s="28" t="s">
        <v>37</v>
      </c>
      <c r="G43" s="28" t="s">
        <v>55</v>
      </c>
      <c r="H43" s="28" t="s">
        <v>315</v>
      </c>
      <c r="I43" s="28" t="s">
        <v>316</v>
      </c>
      <c r="J43" s="28" t="s">
        <v>52</v>
      </c>
      <c r="K43" s="28" t="s">
        <v>117</v>
      </c>
    </row>
    <row r="44" customFormat="false" ht="60" hidden="false" customHeight="true" outlineLevel="0" collapsed="false">
      <c r="A44" s="28" t="s">
        <v>317</v>
      </c>
      <c r="B44" s="28" t="s">
        <v>76</v>
      </c>
      <c r="C44" s="28" t="s">
        <v>77</v>
      </c>
      <c r="D44" s="28" t="s">
        <v>318</v>
      </c>
      <c r="E44" s="28" t="s">
        <v>319</v>
      </c>
      <c r="F44" s="28" t="s">
        <v>37</v>
      </c>
      <c r="G44" s="28" t="s">
        <v>55</v>
      </c>
      <c r="H44" s="28" t="s">
        <v>320</v>
      </c>
      <c r="I44" s="28" t="s">
        <v>148</v>
      </c>
      <c r="J44" s="28" t="s">
        <v>52</v>
      </c>
      <c r="K44" s="28" t="s">
        <v>117</v>
      </c>
    </row>
    <row r="45" customFormat="false" ht="60" hidden="false" customHeight="true" outlineLevel="0" collapsed="false">
      <c r="A45" s="28" t="s">
        <v>321</v>
      </c>
      <c r="B45" s="28" t="s">
        <v>76</v>
      </c>
      <c r="C45" s="28" t="s">
        <v>77</v>
      </c>
      <c r="D45" s="28" t="s">
        <v>322</v>
      </c>
      <c r="E45" s="28" t="s">
        <v>323</v>
      </c>
      <c r="F45" s="28" t="s">
        <v>39</v>
      </c>
      <c r="G45" s="28" t="s">
        <v>57</v>
      </c>
      <c r="H45" s="28" t="s">
        <v>324</v>
      </c>
      <c r="I45" s="28" t="s">
        <v>138</v>
      </c>
      <c r="J45" s="28" t="s">
        <v>48</v>
      </c>
      <c r="K45" s="28" t="s">
        <v>325</v>
      </c>
    </row>
    <row r="46" customFormat="false" ht="60" hidden="false" customHeight="true" outlineLevel="0" collapsed="false">
      <c r="A46" s="28" t="s">
        <v>326</v>
      </c>
      <c r="B46" s="28" t="s">
        <v>76</v>
      </c>
      <c r="C46" s="28" t="s">
        <v>77</v>
      </c>
      <c r="D46" s="28" t="s">
        <v>327</v>
      </c>
      <c r="E46" s="28" t="s">
        <v>328</v>
      </c>
      <c r="F46" s="28" t="s">
        <v>37</v>
      </c>
      <c r="G46" s="28" t="s">
        <v>57</v>
      </c>
      <c r="H46" s="28" t="s">
        <v>329</v>
      </c>
      <c r="I46" s="28" t="s">
        <v>138</v>
      </c>
      <c r="J46" s="28" t="s">
        <v>52</v>
      </c>
      <c r="K46" s="28" t="s">
        <v>117</v>
      </c>
    </row>
    <row r="47" customFormat="false" ht="60" hidden="false" customHeight="true" outlineLevel="0" collapsed="false">
      <c r="A47" s="28" t="s">
        <v>330</v>
      </c>
      <c r="B47" s="28" t="s">
        <v>76</v>
      </c>
      <c r="C47" s="28" t="s">
        <v>77</v>
      </c>
      <c r="D47" s="28" t="s">
        <v>331</v>
      </c>
      <c r="E47" s="28" t="s">
        <v>332</v>
      </c>
      <c r="F47" s="28" t="s">
        <v>39</v>
      </c>
      <c r="G47" s="28" t="s">
        <v>59</v>
      </c>
      <c r="H47" s="28" t="s">
        <v>333</v>
      </c>
      <c r="I47" s="28" t="s">
        <v>163</v>
      </c>
      <c r="J47" s="28" t="s">
        <v>48</v>
      </c>
      <c r="K47" s="28" t="s">
        <v>334</v>
      </c>
    </row>
    <row r="48" customFormat="false" ht="60" hidden="false" customHeight="true" outlineLevel="0" collapsed="false">
      <c r="A48" s="28" t="s">
        <v>335</v>
      </c>
      <c r="B48" s="28" t="s">
        <v>76</v>
      </c>
      <c r="C48" s="28" t="s">
        <v>77</v>
      </c>
      <c r="D48" s="28" t="s">
        <v>336</v>
      </c>
      <c r="E48" s="28" t="s">
        <v>337</v>
      </c>
      <c r="F48" s="28" t="s">
        <v>37</v>
      </c>
      <c r="G48" s="28" t="s">
        <v>57</v>
      </c>
      <c r="H48" s="28" t="s">
        <v>338</v>
      </c>
      <c r="I48" s="28" t="s">
        <v>138</v>
      </c>
      <c r="J48" s="28" t="s">
        <v>52</v>
      </c>
      <c r="K48" s="28" t="s">
        <v>117</v>
      </c>
    </row>
    <row r="49" customFormat="false" ht="60" hidden="false" customHeight="true" outlineLevel="0" collapsed="false">
      <c r="A49" s="28" t="s">
        <v>339</v>
      </c>
      <c r="B49" s="28" t="s">
        <v>76</v>
      </c>
      <c r="C49" s="28" t="s">
        <v>77</v>
      </c>
      <c r="D49" s="28" t="s">
        <v>340</v>
      </c>
      <c r="E49" s="28" t="s">
        <v>341</v>
      </c>
      <c r="F49" s="28" t="s">
        <v>39</v>
      </c>
      <c r="G49" s="28" t="s">
        <v>59</v>
      </c>
      <c r="H49" s="28" t="s">
        <v>342</v>
      </c>
      <c r="I49" s="28" t="s">
        <v>290</v>
      </c>
      <c r="J49" s="28" t="s">
        <v>48</v>
      </c>
      <c r="K49" s="28" t="s">
        <v>343</v>
      </c>
    </row>
    <row r="50" customFormat="false" ht="60" hidden="false" customHeight="true" outlineLevel="0" collapsed="false">
      <c r="A50" s="28" t="s">
        <v>344</v>
      </c>
      <c r="B50" s="28" t="s">
        <v>78</v>
      </c>
      <c r="C50" s="28" t="s">
        <v>79</v>
      </c>
      <c r="D50" s="28" t="s">
        <v>345</v>
      </c>
      <c r="E50" s="28" t="s">
        <v>346</v>
      </c>
      <c r="F50" s="28" t="s">
        <v>37</v>
      </c>
      <c r="G50" s="28" t="s">
        <v>55</v>
      </c>
      <c r="H50" s="28" t="s">
        <v>347</v>
      </c>
      <c r="I50" s="28" t="s">
        <v>348</v>
      </c>
      <c r="J50" s="28" t="s">
        <v>52</v>
      </c>
      <c r="K50" s="28" t="s">
        <v>117</v>
      </c>
    </row>
    <row r="51" customFormat="false" ht="60" hidden="false" customHeight="true" outlineLevel="0" collapsed="false">
      <c r="A51" s="28" t="s">
        <v>349</v>
      </c>
      <c r="B51" s="28" t="s">
        <v>78</v>
      </c>
      <c r="C51" s="28" t="s">
        <v>79</v>
      </c>
      <c r="D51" s="28" t="s">
        <v>350</v>
      </c>
      <c r="E51" s="28" t="s">
        <v>351</v>
      </c>
      <c r="F51" s="28" t="s">
        <v>37</v>
      </c>
      <c r="G51" s="28" t="s">
        <v>57</v>
      </c>
      <c r="H51" s="28" t="s">
        <v>352</v>
      </c>
      <c r="I51" s="28" t="s">
        <v>348</v>
      </c>
      <c r="J51" s="28" t="s">
        <v>52</v>
      </c>
      <c r="K51" s="28" t="s">
        <v>117</v>
      </c>
    </row>
    <row r="52" customFormat="false" ht="60" hidden="false" customHeight="true" outlineLevel="0" collapsed="false">
      <c r="A52" s="28" t="s">
        <v>353</v>
      </c>
      <c r="B52" s="28" t="s">
        <v>78</v>
      </c>
      <c r="C52" s="28" t="s">
        <v>79</v>
      </c>
      <c r="D52" s="28" t="s">
        <v>354</v>
      </c>
      <c r="E52" s="28" t="s">
        <v>355</v>
      </c>
      <c r="F52" s="28" t="s">
        <v>39</v>
      </c>
      <c r="G52" s="28" t="s">
        <v>59</v>
      </c>
      <c r="H52" s="28" t="s">
        <v>356</v>
      </c>
      <c r="I52" s="28" t="s">
        <v>357</v>
      </c>
      <c r="J52" s="28" t="s">
        <v>50</v>
      </c>
      <c r="K52" s="28" t="s">
        <v>358</v>
      </c>
    </row>
    <row r="53" customFormat="false" ht="60" hidden="false" customHeight="true" outlineLevel="0" collapsed="false">
      <c r="A53" s="28" t="s">
        <v>359</v>
      </c>
      <c r="B53" s="28" t="s">
        <v>78</v>
      </c>
      <c r="C53" s="28" t="s">
        <v>79</v>
      </c>
      <c r="D53" s="28" t="s">
        <v>360</v>
      </c>
      <c r="E53" s="28" t="s">
        <v>361</v>
      </c>
      <c r="F53" s="28" t="s">
        <v>37</v>
      </c>
      <c r="G53" s="28" t="s">
        <v>55</v>
      </c>
      <c r="H53" s="28" t="s">
        <v>362</v>
      </c>
      <c r="I53" s="28" t="s">
        <v>290</v>
      </c>
      <c r="J53" s="28" t="s">
        <v>52</v>
      </c>
      <c r="K53" s="28" t="s">
        <v>117</v>
      </c>
    </row>
    <row r="54" customFormat="false" ht="60" hidden="false" customHeight="true" outlineLevel="0" collapsed="false">
      <c r="A54" s="28" t="s">
        <v>363</v>
      </c>
      <c r="B54" s="28" t="s">
        <v>78</v>
      </c>
      <c r="C54" s="28" t="s">
        <v>79</v>
      </c>
      <c r="D54" s="28" t="s">
        <v>364</v>
      </c>
      <c r="E54" s="28" t="s">
        <v>365</v>
      </c>
      <c r="F54" s="28" t="s">
        <v>39</v>
      </c>
      <c r="G54" s="28" t="s">
        <v>57</v>
      </c>
      <c r="H54" s="28" t="s">
        <v>366</v>
      </c>
      <c r="I54" s="28" t="s">
        <v>348</v>
      </c>
      <c r="J54" s="28" t="s">
        <v>48</v>
      </c>
      <c r="K54" s="28" t="s">
        <v>367</v>
      </c>
    </row>
    <row r="55" customFormat="false" ht="60" hidden="false" customHeight="true" outlineLevel="0" collapsed="false">
      <c r="A55" s="28" t="s">
        <v>368</v>
      </c>
      <c r="B55" s="28" t="s">
        <v>80</v>
      </c>
      <c r="C55" s="28" t="s">
        <v>81</v>
      </c>
      <c r="D55" s="28" t="s">
        <v>369</v>
      </c>
      <c r="E55" s="28" t="s">
        <v>370</v>
      </c>
      <c r="F55" s="28" t="s">
        <v>39</v>
      </c>
      <c r="G55" s="28" t="s">
        <v>57</v>
      </c>
      <c r="H55" s="28" t="s">
        <v>371</v>
      </c>
      <c r="I55" s="28" t="s">
        <v>372</v>
      </c>
      <c r="J55" s="28" t="s">
        <v>48</v>
      </c>
      <c r="K55" s="28" t="s">
        <v>373</v>
      </c>
    </row>
    <row r="56" customFormat="false" ht="60" hidden="false" customHeight="true" outlineLevel="0" collapsed="false">
      <c r="A56" s="28" t="s">
        <v>374</v>
      </c>
      <c r="B56" s="28" t="s">
        <v>80</v>
      </c>
      <c r="C56" s="28" t="s">
        <v>81</v>
      </c>
      <c r="D56" s="28" t="s">
        <v>375</v>
      </c>
      <c r="E56" s="28" t="s">
        <v>376</v>
      </c>
      <c r="F56" s="28" t="s">
        <v>39</v>
      </c>
      <c r="G56" s="28" t="s">
        <v>59</v>
      </c>
      <c r="H56" s="28" t="s">
        <v>377</v>
      </c>
      <c r="I56" s="28" t="s">
        <v>290</v>
      </c>
      <c r="J56" s="28" t="s">
        <v>48</v>
      </c>
      <c r="K56" s="28" t="s">
        <v>378</v>
      </c>
    </row>
    <row r="57" customFormat="false" ht="60" hidden="false" customHeight="true" outlineLevel="0" collapsed="false">
      <c r="A57" s="28" t="s">
        <v>379</v>
      </c>
      <c r="B57" s="28" t="s">
        <v>80</v>
      </c>
      <c r="C57" s="28" t="s">
        <v>81</v>
      </c>
      <c r="D57" s="28" t="s">
        <v>380</v>
      </c>
      <c r="E57" s="28" t="s">
        <v>381</v>
      </c>
      <c r="F57" s="28" t="s">
        <v>37</v>
      </c>
      <c r="G57" s="28" t="s">
        <v>55</v>
      </c>
      <c r="H57" s="28" t="s">
        <v>382</v>
      </c>
      <c r="I57" s="28" t="s">
        <v>383</v>
      </c>
      <c r="J57" s="28" t="s">
        <v>52</v>
      </c>
      <c r="K57" s="28" t="s">
        <v>117</v>
      </c>
    </row>
    <row r="58" customFormat="false" ht="60" hidden="false" customHeight="true" outlineLevel="0" collapsed="false">
      <c r="A58" s="28" t="s">
        <v>384</v>
      </c>
      <c r="B58" s="28" t="s">
        <v>80</v>
      </c>
      <c r="C58" s="28" t="s">
        <v>81</v>
      </c>
      <c r="D58" s="28" t="s">
        <v>385</v>
      </c>
      <c r="E58" s="28" t="s">
        <v>386</v>
      </c>
      <c r="F58" s="28" t="s">
        <v>37</v>
      </c>
      <c r="G58" s="28" t="s">
        <v>57</v>
      </c>
      <c r="H58" s="28" t="s">
        <v>387</v>
      </c>
      <c r="I58" s="28" t="s">
        <v>197</v>
      </c>
      <c r="J58" s="28" t="s">
        <v>52</v>
      </c>
      <c r="K58" s="28" t="s">
        <v>117</v>
      </c>
    </row>
    <row r="59" customFormat="false" ht="60" hidden="false" customHeight="true" outlineLevel="0" collapsed="false">
      <c r="A59" s="28" t="s">
        <v>388</v>
      </c>
      <c r="B59" s="28" t="s">
        <v>80</v>
      </c>
      <c r="C59" s="28" t="s">
        <v>81</v>
      </c>
      <c r="D59" s="28" t="s">
        <v>389</v>
      </c>
      <c r="E59" s="28" t="s">
        <v>390</v>
      </c>
      <c r="F59" s="28" t="s">
        <v>39</v>
      </c>
      <c r="G59" s="28" t="s">
        <v>59</v>
      </c>
      <c r="H59" s="28" t="s">
        <v>391</v>
      </c>
      <c r="I59" s="28" t="s">
        <v>197</v>
      </c>
      <c r="J59" s="28" t="s">
        <v>48</v>
      </c>
      <c r="K59" s="28" t="s">
        <v>392</v>
      </c>
    </row>
    <row r="60" customFormat="false" ht="60" hidden="false" customHeight="true" outlineLevel="0" collapsed="false">
      <c r="A60" s="28" t="s">
        <v>393</v>
      </c>
      <c r="B60" s="28" t="s">
        <v>80</v>
      </c>
      <c r="C60" s="28" t="s">
        <v>81</v>
      </c>
      <c r="D60" s="28" t="s">
        <v>394</v>
      </c>
      <c r="E60" s="28" t="s">
        <v>395</v>
      </c>
      <c r="F60" s="28" t="s">
        <v>37</v>
      </c>
      <c r="G60" s="28" t="s">
        <v>57</v>
      </c>
      <c r="H60" s="28" t="s">
        <v>396</v>
      </c>
      <c r="I60" s="28" t="s">
        <v>397</v>
      </c>
      <c r="J60" s="28" t="s">
        <v>52</v>
      </c>
      <c r="K60" s="28" t="s">
        <v>117</v>
      </c>
    </row>
    <row r="61" customFormat="false" ht="60" hidden="false" customHeight="true" outlineLevel="0" collapsed="false">
      <c r="A61" s="28" t="s">
        <v>398</v>
      </c>
      <c r="B61" s="28" t="s">
        <v>80</v>
      </c>
      <c r="C61" s="28" t="s">
        <v>81</v>
      </c>
      <c r="D61" s="28" t="s">
        <v>399</v>
      </c>
      <c r="E61" s="28" t="s">
        <v>400</v>
      </c>
      <c r="F61" s="28" t="s">
        <v>39</v>
      </c>
      <c r="G61" s="28" t="s">
        <v>59</v>
      </c>
      <c r="H61" s="28" t="s">
        <v>401</v>
      </c>
      <c r="I61" s="28" t="s">
        <v>138</v>
      </c>
      <c r="J61" s="28" t="s">
        <v>46</v>
      </c>
      <c r="K61" s="28" t="s">
        <v>402</v>
      </c>
    </row>
    <row r="62" customFormat="false" ht="60" hidden="false" customHeight="true" outlineLevel="0" collapsed="false">
      <c r="A62" s="28" t="s">
        <v>403</v>
      </c>
      <c r="B62" s="28" t="s">
        <v>80</v>
      </c>
      <c r="C62" s="28" t="s">
        <v>81</v>
      </c>
      <c r="D62" s="28" t="s">
        <v>404</v>
      </c>
      <c r="E62" s="28" t="s">
        <v>405</v>
      </c>
      <c r="F62" s="28" t="s">
        <v>37</v>
      </c>
      <c r="G62" s="28" t="s">
        <v>57</v>
      </c>
      <c r="H62" s="28" t="s">
        <v>406</v>
      </c>
      <c r="I62" s="28" t="s">
        <v>158</v>
      </c>
      <c r="J62" s="28" t="s">
        <v>52</v>
      </c>
      <c r="K62" s="28" t="s">
        <v>117</v>
      </c>
    </row>
    <row r="63" customFormat="false" ht="60" hidden="false" customHeight="true" outlineLevel="0" collapsed="false">
      <c r="A63" s="28" t="s">
        <v>407</v>
      </c>
      <c r="B63" s="28" t="s">
        <v>80</v>
      </c>
      <c r="C63" s="28" t="s">
        <v>81</v>
      </c>
      <c r="D63" s="28" t="s">
        <v>408</v>
      </c>
      <c r="E63" s="28" t="s">
        <v>409</v>
      </c>
      <c r="F63" s="28" t="s">
        <v>37</v>
      </c>
      <c r="G63" s="28" t="s">
        <v>57</v>
      </c>
      <c r="H63" s="28" t="s">
        <v>410</v>
      </c>
      <c r="I63" s="28" t="s">
        <v>138</v>
      </c>
      <c r="J63" s="28" t="s">
        <v>52</v>
      </c>
      <c r="K63" s="28" t="s">
        <v>117</v>
      </c>
    </row>
    <row r="64" customFormat="false" ht="60" hidden="false" customHeight="true" outlineLevel="0" collapsed="false">
      <c r="A64" s="28" t="s">
        <v>411</v>
      </c>
      <c r="B64" s="28" t="s">
        <v>80</v>
      </c>
      <c r="C64" s="28" t="s">
        <v>81</v>
      </c>
      <c r="D64" s="28" t="s">
        <v>412</v>
      </c>
      <c r="E64" s="28" t="s">
        <v>413</v>
      </c>
      <c r="F64" s="28" t="s">
        <v>39</v>
      </c>
      <c r="G64" s="28" t="s">
        <v>57</v>
      </c>
      <c r="H64" s="28" t="s">
        <v>414</v>
      </c>
      <c r="I64" s="28" t="s">
        <v>415</v>
      </c>
      <c r="J64" s="28" t="s">
        <v>48</v>
      </c>
      <c r="K64" s="28" t="s">
        <v>416</v>
      </c>
    </row>
    <row r="65" customFormat="false" ht="60" hidden="false" customHeight="true" outlineLevel="0" collapsed="false">
      <c r="A65" s="28" t="s">
        <v>417</v>
      </c>
      <c r="B65" s="28" t="s">
        <v>80</v>
      </c>
      <c r="C65" s="28" t="s">
        <v>81</v>
      </c>
      <c r="D65" s="28" t="s">
        <v>418</v>
      </c>
      <c r="E65" s="28" t="s">
        <v>419</v>
      </c>
      <c r="F65" s="28" t="s">
        <v>37</v>
      </c>
      <c r="G65" s="28" t="s">
        <v>57</v>
      </c>
      <c r="H65" s="28" t="s">
        <v>420</v>
      </c>
      <c r="I65" s="28" t="s">
        <v>421</v>
      </c>
      <c r="J65" s="28" t="s">
        <v>52</v>
      </c>
      <c r="K65" s="28" t="s">
        <v>422</v>
      </c>
    </row>
    <row r="66" customFormat="false" ht="60" hidden="false" customHeight="true" outlineLevel="0" collapsed="false">
      <c r="A66" s="28" t="s">
        <v>423</v>
      </c>
      <c r="B66" s="28" t="s">
        <v>80</v>
      </c>
      <c r="C66" s="28" t="s">
        <v>81</v>
      </c>
      <c r="D66" s="28" t="s">
        <v>424</v>
      </c>
      <c r="E66" s="28" t="s">
        <v>425</v>
      </c>
      <c r="F66" s="28" t="s">
        <v>39</v>
      </c>
      <c r="G66" s="28" t="s">
        <v>59</v>
      </c>
      <c r="H66" s="28" t="s">
        <v>426</v>
      </c>
      <c r="I66" s="28" t="s">
        <v>427</v>
      </c>
      <c r="J66" s="28" t="s">
        <v>50</v>
      </c>
      <c r="K66" s="28" t="s">
        <v>428</v>
      </c>
    </row>
  </sheetData>
  <autoFilter ref="A1:K66"/>
  <conditionalFormatting sqref="F2:F66">
    <cfRule type="cellIs" priority="2" operator="equal" aboveAverage="0" equalAverage="0" bottom="0" percent="0" rank="0" text="" dxfId="8">
      <formula>"Implemented"</formula>
    </cfRule>
    <cfRule type="cellIs" priority="3" operator="equal" aboveAverage="0" equalAverage="0" bottom="0" percent="0" rank="0" text="" dxfId="9">
      <formula>"Partially Implemented"</formula>
    </cfRule>
    <cfRule type="cellIs" priority="4" operator="equal" aboveAverage="0" equalAverage="0" bottom="0" percent="0" rank="0" text="" dxfId="10">
      <formula>"Not Implemented"</formula>
    </cfRule>
    <cfRule type="cellIs" priority="5" operator="equal" aboveAverage="0" equalAverage="0" bottom="0" percent="0" rank="0" text="" dxfId="11">
      <formula>"Not Applicable"</formula>
    </cfRule>
  </conditionalFormatting>
  <conditionalFormatting sqref="J2:J66">
    <cfRule type="cellIs" priority="6" operator="equal" aboveAverage="0" equalAverage="0" bottom="0" percent="0" rank="0" text="" dxfId="12">
      <formula>"High"</formula>
    </cfRule>
    <cfRule type="cellIs" priority="7" operator="equal" aboveAverage="0" equalAverage="0" bottom="0" percent="0" rank="0" text="" dxfId="13">
      <formula>"Medium"</formula>
    </cfRule>
    <cfRule type="cellIs" priority="8" operator="equal" aboveAverage="0" equalAverage="0" bottom="0" percent="0" rank="0" text="" dxfId="9">
      <formula>"Low"</formula>
    </cfRule>
    <cfRule type="cellIs" priority="9" operator="equal" aboveAverage="0" equalAverage="0" bottom="0" percent="0" rank="0" text="" dxfId="8">
      <formula>"None"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5" min="4" style="1" width="14"/>
    <col collapsed="false" customWidth="true" hidden="false" outlineLevel="0" max="6" min="6" style="1" width="60"/>
    <col collapsed="false" customWidth="true" hidden="false" outlineLevel="0" max="7" min="7" style="1" width="24"/>
  </cols>
  <sheetData>
    <row r="2" customFormat="false" ht="19.7" hidden="false" customHeight="false" outlineLevel="0" collapsed="false">
      <c r="B2" s="29" t="s">
        <v>429</v>
      </c>
    </row>
    <row r="3" customFormat="false" ht="15" hidden="false" customHeight="false" outlineLevel="0" collapsed="false">
      <c r="B3" s="30" t="s">
        <v>430</v>
      </c>
    </row>
    <row r="5" customFormat="false" ht="27.75" hidden="false" customHeight="true" outlineLevel="0" collapsed="false">
      <c r="A5" s="21" t="s">
        <v>431</v>
      </c>
      <c r="B5" s="21" t="s">
        <v>432</v>
      </c>
      <c r="C5" s="21" t="s">
        <v>100</v>
      </c>
      <c r="D5" s="21" t="s">
        <v>433</v>
      </c>
      <c r="E5" s="21" t="s">
        <v>102</v>
      </c>
      <c r="F5" s="21" t="s">
        <v>106</v>
      </c>
      <c r="G5" s="21" t="s">
        <v>104</v>
      </c>
    </row>
    <row r="6" customFormat="false" ht="49.5" hidden="false" customHeight="true" outlineLevel="0" collapsed="false">
      <c r="A6" s="31" t="s">
        <v>434</v>
      </c>
      <c r="B6" s="22" t="s">
        <v>435</v>
      </c>
      <c r="C6" s="28" t="s">
        <v>119</v>
      </c>
      <c r="D6" s="31" t="s">
        <v>48</v>
      </c>
      <c r="E6" s="31" t="s">
        <v>39</v>
      </c>
      <c r="F6" s="28" t="s">
        <v>123</v>
      </c>
      <c r="G6" s="28" t="s">
        <v>122</v>
      </c>
    </row>
    <row r="7" customFormat="false" ht="49.5" hidden="false" customHeight="true" outlineLevel="0" collapsed="false">
      <c r="A7" s="31" t="s">
        <v>436</v>
      </c>
      <c r="B7" s="22" t="s">
        <v>437</v>
      </c>
      <c r="C7" s="28" t="s">
        <v>135</v>
      </c>
      <c r="D7" s="31" t="s">
        <v>46</v>
      </c>
      <c r="E7" s="31" t="s">
        <v>39</v>
      </c>
      <c r="F7" s="28" t="s">
        <v>139</v>
      </c>
      <c r="G7" s="28" t="s">
        <v>138</v>
      </c>
    </row>
    <row r="8" customFormat="false" ht="49.5" hidden="false" customHeight="true" outlineLevel="0" collapsed="false">
      <c r="A8" s="31" t="s">
        <v>438</v>
      </c>
      <c r="B8" s="22" t="s">
        <v>439</v>
      </c>
      <c r="C8" s="28" t="s">
        <v>160</v>
      </c>
      <c r="D8" s="31" t="s">
        <v>48</v>
      </c>
      <c r="E8" s="31" t="s">
        <v>39</v>
      </c>
      <c r="F8" s="28" t="s">
        <v>164</v>
      </c>
      <c r="G8" s="28" t="s">
        <v>163</v>
      </c>
    </row>
    <row r="9" customFormat="false" ht="49.5" hidden="false" customHeight="true" outlineLevel="0" collapsed="false">
      <c r="A9" s="31" t="s">
        <v>440</v>
      </c>
      <c r="B9" s="22" t="s">
        <v>441</v>
      </c>
      <c r="C9" s="28" t="s">
        <v>166</v>
      </c>
      <c r="D9" s="31" t="s">
        <v>46</v>
      </c>
      <c r="E9" s="31" t="s">
        <v>39</v>
      </c>
      <c r="F9" s="28" t="s">
        <v>170</v>
      </c>
      <c r="G9" s="28" t="s">
        <v>169</v>
      </c>
    </row>
    <row r="10" customFormat="false" ht="49.5" hidden="false" customHeight="true" outlineLevel="0" collapsed="false">
      <c r="A10" s="31" t="s">
        <v>442</v>
      </c>
      <c r="B10" s="22" t="s">
        <v>443</v>
      </c>
      <c r="C10" s="28" t="s">
        <v>182</v>
      </c>
      <c r="D10" s="31" t="s">
        <v>48</v>
      </c>
      <c r="E10" s="31" t="s">
        <v>41</v>
      </c>
      <c r="F10" s="28" t="s">
        <v>186</v>
      </c>
      <c r="G10" s="28" t="s">
        <v>185</v>
      </c>
    </row>
    <row r="11" customFormat="false" ht="49.5" hidden="false" customHeight="true" outlineLevel="0" collapsed="false">
      <c r="A11" s="31" t="s">
        <v>444</v>
      </c>
      <c r="B11" s="22" t="s">
        <v>445</v>
      </c>
      <c r="C11" s="28" t="s">
        <v>200</v>
      </c>
      <c r="D11" s="31" t="s">
        <v>48</v>
      </c>
      <c r="E11" s="31" t="s">
        <v>39</v>
      </c>
      <c r="F11" s="28" t="s">
        <v>203</v>
      </c>
      <c r="G11" s="28" t="s">
        <v>138</v>
      </c>
    </row>
    <row r="12" customFormat="false" ht="49.5" hidden="false" customHeight="true" outlineLevel="0" collapsed="false">
      <c r="A12" s="31" t="s">
        <v>446</v>
      </c>
      <c r="B12" s="22" t="s">
        <v>447</v>
      </c>
      <c r="C12" s="28" t="s">
        <v>227</v>
      </c>
      <c r="D12" s="31" t="s">
        <v>48</v>
      </c>
      <c r="E12" s="31" t="s">
        <v>39</v>
      </c>
      <c r="F12" s="28" t="s">
        <v>230</v>
      </c>
      <c r="G12" s="28" t="s">
        <v>138</v>
      </c>
    </row>
    <row r="13" customFormat="false" ht="49.5" hidden="false" customHeight="true" outlineLevel="0" collapsed="false">
      <c r="A13" s="31" t="s">
        <v>448</v>
      </c>
      <c r="B13" s="22" t="s">
        <v>449</v>
      </c>
      <c r="C13" s="28" t="s">
        <v>232</v>
      </c>
      <c r="D13" s="31" t="s">
        <v>48</v>
      </c>
      <c r="E13" s="31" t="s">
        <v>39</v>
      </c>
      <c r="F13" s="28" t="s">
        <v>235</v>
      </c>
      <c r="G13" s="28" t="s">
        <v>191</v>
      </c>
    </row>
    <row r="14" customFormat="false" ht="49.5" hidden="false" customHeight="true" outlineLevel="0" collapsed="false">
      <c r="A14" s="31" t="s">
        <v>450</v>
      </c>
      <c r="B14" s="22" t="s">
        <v>451</v>
      </c>
      <c r="C14" s="28" t="s">
        <v>247</v>
      </c>
      <c r="D14" s="31" t="s">
        <v>48</v>
      </c>
      <c r="E14" s="31" t="s">
        <v>39</v>
      </c>
      <c r="F14" s="28" t="s">
        <v>250</v>
      </c>
      <c r="G14" s="28" t="s">
        <v>148</v>
      </c>
    </row>
    <row r="15" customFormat="false" ht="49.5" hidden="false" customHeight="true" outlineLevel="0" collapsed="false">
      <c r="A15" s="31" t="s">
        <v>452</v>
      </c>
      <c r="B15" s="22" t="s">
        <v>453</v>
      </c>
      <c r="C15" s="28" t="s">
        <v>252</v>
      </c>
      <c r="D15" s="31" t="s">
        <v>48</v>
      </c>
      <c r="E15" s="31" t="s">
        <v>39</v>
      </c>
      <c r="F15" s="28" t="s">
        <v>255</v>
      </c>
      <c r="G15" s="28" t="s">
        <v>148</v>
      </c>
    </row>
    <row r="16" customFormat="false" ht="49.5" hidden="false" customHeight="true" outlineLevel="0" collapsed="false">
      <c r="A16" s="31" t="s">
        <v>454</v>
      </c>
      <c r="B16" s="22" t="s">
        <v>455</v>
      </c>
      <c r="C16" s="28" t="s">
        <v>257</v>
      </c>
      <c r="D16" s="31" t="s">
        <v>46</v>
      </c>
      <c r="E16" s="31" t="s">
        <v>39</v>
      </c>
      <c r="F16" s="28" t="s">
        <v>261</v>
      </c>
      <c r="G16" s="28" t="s">
        <v>260</v>
      </c>
    </row>
    <row r="17" customFormat="false" ht="49.5" hidden="false" customHeight="true" outlineLevel="0" collapsed="false">
      <c r="A17" s="31" t="s">
        <v>456</v>
      </c>
      <c r="B17" s="22" t="s">
        <v>457</v>
      </c>
      <c r="C17" s="28" t="s">
        <v>304</v>
      </c>
      <c r="D17" s="31" t="s">
        <v>48</v>
      </c>
      <c r="E17" s="31" t="s">
        <v>39</v>
      </c>
      <c r="F17" s="28" t="s">
        <v>307</v>
      </c>
      <c r="G17" s="28" t="s">
        <v>148</v>
      </c>
    </row>
    <row r="18" customFormat="false" ht="49.5" hidden="false" customHeight="true" outlineLevel="0" collapsed="false">
      <c r="A18" s="31" t="s">
        <v>458</v>
      </c>
      <c r="B18" s="22" t="s">
        <v>459</v>
      </c>
      <c r="C18" s="28" t="s">
        <v>322</v>
      </c>
      <c r="D18" s="31" t="s">
        <v>48</v>
      </c>
      <c r="E18" s="31" t="s">
        <v>39</v>
      </c>
      <c r="F18" s="28" t="s">
        <v>325</v>
      </c>
      <c r="G18" s="28" t="s">
        <v>138</v>
      </c>
    </row>
    <row r="19" customFormat="false" ht="49.5" hidden="false" customHeight="true" outlineLevel="0" collapsed="false">
      <c r="A19" s="31" t="s">
        <v>460</v>
      </c>
      <c r="B19" s="22" t="s">
        <v>461</v>
      </c>
      <c r="C19" s="28" t="s">
        <v>331</v>
      </c>
      <c r="D19" s="31" t="s">
        <v>48</v>
      </c>
      <c r="E19" s="31" t="s">
        <v>39</v>
      </c>
      <c r="F19" s="28" t="s">
        <v>334</v>
      </c>
      <c r="G19" s="28" t="s">
        <v>163</v>
      </c>
    </row>
    <row r="20" customFormat="false" ht="49.5" hidden="false" customHeight="true" outlineLevel="0" collapsed="false">
      <c r="A20" s="31" t="s">
        <v>462</v>
      </c>
      <c r="B20" s="22" t="s">
        <v>463</v>
      </c>
      <c r="C20" s="28" t="s">
        <v>340</v>
      </c>
      <c r="D20" s="31" t="s">
        <v>48</v>
      </c>
      <c r="E20" s="31" t="s">
        <v>39</v>
      </c>
      <c r="F20" s="28" t="s">
        <v>343</v>
      </c>
      <c r="G20" s="28" t="s">
        <v>290</v>
      </c>
    </row>
    <row r="21" customFormat="false" ht="49.5" hidden="false" customHeight="true" outlineLevel="0" collapsed="false">
      <c r="A21" s="31" t="s">
        <v>464</v>
      </c>
      <c r="B21" s="22" t="s">
        <v>465</v>
      </c>
      <c r="C21" s="28" t="s">
        <v>364</v>
      </c>
      <c r="D21" s="31" t="s">
        <v>48</v>
      </c>
      <c r="E21" s="31" t="s">
        <v>39</v>
      </c>
      <c r="F21" s="28" t="s">
        <v>367</v>
      </c>
      <c r="G21" s="28" t="s">
        <v>348</v>
      </c>
    </row>
    <row r="22" customFormat="false" ht="49.5" hidden="false" customHeight="true" outlineLevel="0" collapsed="false">
      <c r="A22" s="31" t="s">
        <v>466</v>
      </c>
      <c r="B22" s="22" t="s">
        <v>467</v>
      </c>
      <c r="C22" s="28" t="s">
        <v>369</v>
      </c>
      <c r="D22" s="31" t="s">
        <v>48</v>
      </c>
      <c r="E22" s="31" t="s">
        <v>39</v>
      </c>
      <c r="F22" s="28" t="s">
        <v>373</v>
      </c>
      <c r="G22" s="28" t="s">
        <v>372</v>
      </c>
    </row>
    <row r="23" customFormat="false" ht="49.5" hidden="false" customHeight="true" outlineLevel="0" collapsed="false">
      <c r="A23" s="31" t="s">
        <v>468</v>
      </c>
      <c r="B23" s="22" t="s">
        <v>469</v>
      </c>
      <c r="C23" s="28" t="s">
        <v>375</v>
      </c>
      <c r="D23" s="31" t="s">
        <v>48</v>
      </c>
      <c r="E23" s="31" t="s">
        <v>39</v>
      </c>
      <c r="F23" s="28" t="s">
        <v>378</v>
      </c>
      <c r="G23" s="28" t="s">
        <v>290</v>
      </c>
    </row>
    <row r="24" customFormat="false" ht="49.5" hidden="false" customHeight="true" outlineLevel="0" collapsed="false">
      <c r="A24" s="31" t="s">
        <v>470</v>
      </c>
      <c r="B24" s="22" t="s">
        <v>471</v>
      </c>
      <c r="C24" s="28" t="s">
        <v>389</v>
      </c>
      <c r="D24" s="31" t="s">
        <v>48</v>
      </c>
      <c r="E24" s="31" t="s">
        <v>39</v>
      </c>
      <c r="F24" s="28" t="s">
        <v>392</v>
      </c>
      <c r="G24" s="28" t="s">
        <v>197</v>
      </c>
    </row>
    <row r="25" customFormat="false" ht="49.5" hidden="false" customHeight="true" outlineLevel="0" collapsed="false">
      <c r="A25" s="31" t="s">
        <v>472</v>
      </c>
      <c r="B25" s="22" t="s">
        <v>473</v>
      </c>
      <c r="C25" s="28" t="s">
        <v>399</v>
      </c>
      <c r="D25" s="31" t="s">
        <v>46</v>
      </c>
      <c r="E25" s="31" t="s">
        <v>39</v>
      </c>
      <c r="F25" s="28" t="s">
        <v>402</v>
      </c>
      <c r="G25" s="28" t="s">
        <v>138</v>
      </c>
    </row>
    <row r="26" customFormat="false" ht="49.5" hidden="false" customHeight="true" outlineLevel="0" collapsed="false">
      <c r="A26" s="31" t="s">
        <v>474</v>
      </c>
      <c r="B26" s="22" t="s">
        <v>475</v>
      </c>
      <c r="C26" s="28" t="s">
        <v>412</v>
      </c>
      <c r="D26" s="31" t="s">
        <v>48</v>
      </c>
      <c r="E26" s="31" t="s">
        <v>39</v>
      </c>
      <c r="F26" s="28" t="s">
        <v>416</v>
      </c>
      <c r="G26" s="28" t="s">
        <v>415</v>
      </c>
    </row>
    <row r="28" customFormat="false" ht="15" hidden="false" customHeight="false" outlineLevel="0" collapsed="false">
      <c r="B28" s="7" t="s">
        <v>476</v>
      </c>
    </row>
  </sheetData>
  <conditionalFormatting sqref="D6:D26">
    <cfRule type="cellIs" priority="2" operator="equal" aboveAverage="0" equalAverage="0" bottom="0" percent="0" rank="0" text="" dxfId="12">
      <formula>"High"</formula>
    </cfRule>
    <cfRule type="cellIs" priority="3" operator="equal" aboveAverage="0" equalAverage="0" bottom="0" percent="0" rank="0" text="" dxfId="13">
      <formula>"Medium"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90"/>
  </cols>
  <sheetData>
    <row r="2" customFormat="false" ht="19.7" hidden="false" customHeight="false" outlineLevel="0" collapsed="false">
      <c r="B2" s="29" t="s">
        <v>477</v>
      </c>
    </row>
    <row r="4" customFormat="false" ht="15" hidden="false" customHeight="false" outlineLevel="0" collapsed="false">
      <c r="B4" s="32" t="s">
        <v>478</v>
      </c>
      <c r="C4" s="33" t="s">
        <v>479</v>
      </c>
    </row>
    <row r="5" customFormat="false" ht="26.85" hidden="false" customHeight="false" outlineLevel="0" collapsed="false">
      <c r="B5" s="32" t="s">
        <v>480</v>
      </c>
      <c r="C5" s="33" t="s">
        <v>481</v>
      </c>
    </row>
    <row r="6" customFormat="false" ht="26.85" hidden="false" customHeight="false" outlineLevel="0" collapsed="false">
      <c r="B6" s="32" t="s">
        <v>482</v>
      </c>
      <c r="C6" s="33" t="s">
        <v>483</v>
      </c>
    </row>
    <row r="7" customFormat="false" ht="15" hidden="false" customHeight="false" outlineLevel="0" collapsed="false">
      <c r="B7" s="32" t="s">
        <v>99</v>
      </c>
      <c r="C7" s="33" t="s">
        <v>484</v>
      </c>
    </row>
    <row r="8" customFormat="false" ht="26.85" hidden="false" customHeight="false" outlineLevel="0" collapsed="false">
      <c r="B8" s="32" t="s">
        <v>485</v>
      </c>
      <c r="C8" s="33" t="s">
        <v>486</v>
      </c>
    </row>
    <row r="9" customFormat="false" ht="15" hidden="false" customHeight="false" outlineLevel="0" collapsed="false">
      <c r="B9" s="32" t="s">
        <v>487</v>
      </c>
      <c r="C9" s="33" t="s">
        <v>488</v>
      </c>
    </row>
    <row r="10" customFormat="false" ht="15" hidden="false" customHeight="false" outlineLevel="0" collapsed="false">
      <c r="B10" s="32" t="s">
        <v>489</v>
      </c>
      <c r="C10" s="33" t="s">
        <v>490</v>
      </c>
    </row>
    <row r="11" customFormat="false" ht="15" hidden="false" customHeight="false" outlineLevel="0" collapsed="false">
      <c r="B11" s="32" t="s">
        <v>491</v>
      </c>
      <c r="C11" s="33" t="s">
        <v>492</v>
      </c>
    </row>
    <row r="12" customFormat="false" ht="15" hidden="false" customHeight="false" outlineLevel="0" collapsed="false">
      <c r="B12" s="32" t="s">
        <v>493</v>
      </c>
      <c r="C12" s="33" t="s">
        <v>494</v>
      </c>
    </row>
    <row r="13" customFormat="false" ht="15" hidden="false" customHeight="false" outlineLevel="0" collapsed="false">
      <c r="B13" s="32" t="s">
        <v>495</v>
      </c>
      <c r="C13" s="33" t="s">
        <v>496</v>
      </c>
    </row>
    <row r="14" customFormat="false" ht="15" hidden="false" customHeight="false" outlineLevel="0" collapsed="false">
      <c r="B14" s="32" t="s">
        <v>497</v>
      </c>
      <c r="C14" s="33" t="s">
        <v>498</v>
      </c>
    </row>
    <row r="15" customFormat="false" ht="15" hidden="false" customHeight="false" outlineLevel="0" collapsed="false">
      <c r="B15" s="32" t="s">
        <v>499</v>
      </c>
      <c r="C15" s="33" t="s">
        <v>500</v>
      </c>
    </row>
    <row r="16" customFormat="false" ht="15" hidden="false" customHeight="false" outlineLevel="0" collapsed="false">
      <c r="B16" s="32" t="s">
        <v>501</v>
      </c>
      <c r="C16" s="33" t="s">
        <v>502</v>
      </c>
    </row>
    <row r="17" customFormat="false" ht="15" hidden="false" customHeight="false" outlineLevel="0" collapsed="false">
      <c r="B17" s="32" t="s">
        <v>503</v>
      </c>
      <c r="C17" s="33" t="s">
        <v>504</v>
      </c>
    </row>
    <row r="18" customFormat="false" ht="15" hidden="false" customHeight="false" outlineLevel="0" collapsed="false">
      <c r="B18" s="32" t="s">
        <v>505</v>
      </c>
      <c r="C18" s="33" t="s">
        <v>506</v>
      </c>
    </row>
    <row r="19" customFormat="false" ht="15" hidden="false" customHeight="false" outlineLevel="0" collapsed="false">
      <c r="B19" s="32" t="s">
        <v>507</v>
      </c>
      <c r="C19" s="33" t="s">
        <v>508</v>
      </c>
    </row>
    <row r="20" customFormat="false" ht="15" hidden="false" customHeight="false" outlineLevel="0" collapsed="false">
      <c r="B20" s="32" t="s">
        <v>509</v>
      </c>
      <c r="C20" s="33" t="s">
        <v>510</v>
      </c>
    </row>
    <row r="21" customFormat="false" ht="15" hidden="false" customHeight="false" outlineLevel="0" collapsed="false">
      <c r="B21" s="32" t="s">
        <v>511</v>
      </c>
      <c r="C21" s="33" t="s">
        <v>512</v>
      </c>
    </row>
    <row r="22" customFormat="false" ht="15" hidden="false" customHeight="false" outlineLevel="0" collapsed="false">
      <c r="B22" s="32" t="s">
        <v>513</v>
      </c>
      <c r="C22" s="33" t="s">
        <v>514</v>
      </c>
    </row>
    <row r="23" customFormat="false" ht="15" hidden="false" customHeight="false" outlineLevel="0" collapsed="false">
      <c r="B23" s="32" t="s">
        <v>515</v>
      </c>
      <c r="C23" s="33" t="s">
        <v>516</v>
      </c>
    </row>
    <row r="24" customFormat="false" ht="15" hidden="false" customHeight="false" outlineLevel="0" collapsed="false">
      <c r="B24" s="32" t="s">
        <v>517</v>
      </c>
      <c r="C24" s="33" t="s">
        <v>518</v>
      </c>
    </row>
    <row r="25" customFormat="false" ht="15" hidden="false" customHeight="false" outlineLevel="0" collapsed="false">
      <c r="B25" s="32" t="s">
        <v>519</v>
      </c>
      <c r="C25" s="33" t="s">
        <v>520</v>
      </c>
    </row>
    <row r="26" customFormat="false" ht="15" hidden="false" customHeight="false" outlineLevel="0" collapsed="false">
      <c r="B26" s="32" t="s">
        <v>521</v>
      </c>
      <c r="C26" s="33" t="s">
        <v>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2026-05-09T06:46:54Z</dcterms:created>
  <dc:creator>openpyxl</dc:creator>
  <dc:description/>
  <dc:language>en-US</dc:language>
  <cp:lastModifiedBy/>
  <dcterms:modified xsi:type="dcterms:W3CDTF">2026-05-09T06:46:54Z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